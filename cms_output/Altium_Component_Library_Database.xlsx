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22__ELEKTRONIK\8_Komponent Kütüphaneleri\Altium-Component-Library\"/>
    </mc:Choice>
  </mc:AlternateContent>
  <bookViews>
    <workbookView xWindow="0" yWindow="0" windowWidth="23040" windowHeight="11235" tabRatio="728" firstSheet="2" activeTab="5"/>
  </bookViews>
  <sheets>
    <sheet name="Rev.History" sheetId="2" r:id="rId1"/>
    <sheet name="Rating&amp;Process List" sheetId="24" r:id="rId2"/>
    <sheet name="Symbol Lists" sheetId="29" r:id="rId3"/>
    <sheet name="Footprint Lists" sheetId="30" r:id="rId4"/>
    <sheet name="Manufacturer Lists" sheetId="31" r:id="rId5"/>
    <sheet name="RESISTOR" sheetId="3" r:id="rId6"/>
    <sheet name="CAPACITOR" sheetId="4" r:id="rId7"/>
    <sheet name="INDUCTOR" sheetId="5" r:id="rId8"/>
    <sheet name="FERRITE BEAD" sheetId="6" r:id="rId9"/>
    <sheet name="CMC" sheetId="25" r:id="rId10"/>
    <sheet name="DIODE RECTIFIER" sheetId="32" r:id="rId11"/>
    <sheet name="DIODE SWITCHING" sheetId="7" r:id="rId12"/>
    <sheet name="DIODE ZENER" sheetId="8" r:id="rId13"/>
    <sheet name="DIODE SCHOTTKY" sheetId="9" r:id="rId14"/>
    <sheet name="DIODE TVS" sheetId="10" r:id="rId15"/>
    <sheet name="NTC" sheetId="11" r:id="rId16"/>
    <sheet name="PTC" sheetId="12" r:id="rId17"/>
    <sheet name="LED" sheetId="13" r:id="rId18"/>
    <sheet name="TRANSISTOR" sheetId="14" r:id="rId19"/>
    <sheet name="MOSFET" sheetId="15" r:id="rId20"/>
    <sheet name="DC-DC CONVERTER" sheetId="16" r:id="rId21"/>
    <sheet name="LINEAR VOLTAGE REGULATOR" sheetId="17" r:id="rId22"/>
    <sheet name="LED DRIVER" sheetId="18" r:id="rId23"/>
    <sheet name="MICROCONTROLLER" sheetId="20" r:id="rId24"/>
    <sheet name="OTHER IC" sheetId="19" r:id="rId25"/>
    <sheet name="CONNECTOR" sheetId="21" r:id="rId26"/>
    <sheet name="TERMINAL" sheetId="22" r:id="rId27"/>
    <sheet name="PAD" sheetId="34" r:id="rId28"/>
  </sheets>
  <definedNames>
    <definedName name="Footprints_Capacitors">FootprintsCapacitors[Capacitors]</definedName>
    <definedName name="Footprints_CMCs">FootprintsCMCs[CMCs]</definedName>
    <definedName name="Footprints_ConnectorsPinHeaders">FootprintsConnectorsPinHeaders[Connectors &amp; Pin Headers]</definedName>
    <definedName name="Footprints_DCDCConverters">FootprintsDCDCConverters[DC-DC Converters]</definedName>
    <definedName name="Footprints_Diodes">FootprintsDiodes[Diodes]</definedName>
    <definedName name="Footprints_FerriteBeads">FootprintsFerriteBeads[Ferrite Beads]</definedName>
    <definedName name="Footprints_Inductors">FootprintsInductros[Inductors]</definedName>
    <definedName name="Footprints_LEDDrivers">FootprintsLEDDrivers[LED Drivers]</definedName>
    <definedName name="Footprints_LEDs">FootprintsLEDs[LEDs]</definedName>
    <definedName name="Footprints_LVRs">FootprintsLVRs[Linear Voltage Regulators]</definedName>
    <definedName name="Footprints_MCUs">FootprintsMicrocontrollers[Microcontrollers]</definedName>
    <definedName name="Footprints_Mosfets">FootprintsMosfets[Mosfets]</definedName>
    <definedName name="Footprints_NTCs">FootprintsNTCs[NTCs]</definedName>
    <definedName name="Footprints_OtherICs">FootprintsOtherICs[Other ICs]</definedName>
    <definedName name="Footprints_PADs">FootprintsPADs[PADs]</definedName>
    <definedName name="Footprints_PTCs">FootprintsPTCs[PTCs]</definedName>
    <definedName name="Footprints_Resistors">FootprintsResistors[Resistors]</definedName>
    <definedName name="Footprints_Terminals">FootprintsTerminals[Terminals]</definedName>
    <definedName name="Footprints_Transistors">FootprintsTransistors[Transistors]</definedName>
    <definedName name="Manufacturers_Capacitors">ManufacturersCapacitors[Capacitors]</definedName>
    <definedName name="Manufacturers_CMCs">ManufacturersCMCs[CMCs]</definedName>
    <definedName name="Manufacturers_ConnectorsPinHeaders">ManufacturersConnectorsPinHeaders[Connectors &amp; Pin Headers]</definedName>
    <definedName name="Manufacturers_DCDCConverters">ManufacturersDCDCConverters[DC-DC Converters]</definedName>
    <definedName name="Manufacturers_Diodes">ManufacturersDiodes[Diodes]</definedName>
    <definedName name="Manufacturers_FerriteBeads">ManufacturersFerriteBeads[Ferrite Beads]</definedName>
    <definedName name="Manufacturers_Inductors">ManufacturersInductors[Inductors]</definedName>
    <definedName name="Manufacturers_LEDDrivers">ManufacturersLEDDrivers[LED Drivers]</definedName>
    <definedName name="Manufacturers_LEDs">ManufacturersLEDs[LEDs]</definedName>
    <definedName name="Manufacturers_LVRs">ManufacturersLVRs[Linear Voltage Regulators]</definedName>
    <definedName name="Manufacturers_MCUs">ManufacturersMicrocontrollers[Microcontrollers]</definedName>
    <definedName name="Manufacturers_Mosfets">ManufacturersMosfets[Mosfets]</definedName>
    <definedName name="Manufacturers_NTCs">ManufacturersNTCs[NTCs]</definedName>
    <definedName name="Manufacturers_OtherICs">ManufacturersOtherICs[Other ICs]</definedName>
    <definedName name="Manufacturers_PTCs">ManufacturersPTCs[PTCs]</definedName>
    <definedName name="Manufacturers_Resistors">ManufacturersResistors[Resistors]</definedName>
    <definedName name="Manufacturers_Terminals">ManufacturersTerminals[Terminals]</definedName>
    <definedName name="Manufacturers_Transistors">ManufacturersTransistors[Transistors]</definedName>
    <definedName name="Process_List">ProcessList[All Components]</definedName>
    <definedName name="Rating_List">RatingList[All Components]</definedName>
    <definedName name="Symbols_Capacitors">SymbolsCapacitor[Capacitors]</definedName>
    <definedName name="Symbols_CMCs">SymbolsCMCs[CMCs]</definedName>
    <definedName name="Symbols_ConnectorsPinHeaders">SymbolsConnectorsPinHeaders[Connectors &amp; Pin Headers]</definedName>
    <definedName name="Symbols_DCDCConverters">SymbolsDCDCConverters[DC-DC Converters]</definedName>
    <definedName name="Symbols_Diodes">SymbolsDiodes[Diodes]</definedName>
    <definedName name="Symbols_FerriteBeads">SymbolsFerriteBeads[Ferrite Beads]</definedName>
    <definedName name="Symbols_Inductors">SymbolsInductros[Inductors]</definedName>
    <definedName name="Symbols_LEDDrivers">SymbolsLEDDrivers[LED Drivers]</definedName>
    <definedName name="Symbols_LEDs">SymbolsLEDS[LEDs]</definedName>
    <definedName name="Symbols_LVRs">SymbolsLVRs[Linear Voltage Regulators]</definedName>
    <definedName name="Symbols_MCUs">SymbolsMicrocontrollers[Microcontrollers]</definedName>
    <definedName name="Symbols_Mosfets">SymbolsMosfets[Mosfets]</definedName>
    <definedName name="Symbols_NTCs">SymbolsNTCs[NTCs]</definedName>
    <definedName name="Symbols_OtherICs">SymbolsOtherICs[Other ICs]</definedName>
    <definedName name="Symbols_PADs">SymbolsPADs[PADs]</definedName>
    <definedName name="Symbols_PTCs">SymbolsPTCs[PTCs]</definedName>
    <definedName name="Symbols_Resistors">SymbolsResistor[Resistors]</definedName>
    <definedName name="Symbols_Terminals">SymbolsTerminals[Terminals]</definedName>
    <definedName name="Symbols_Transistors">SymbolsTransistors[Transistors]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1" i="3" l="1"/>
  <c r="A202" i="3"/>
  <c r="A203" i="3"/>
  <c r="A204" i="3"/>
  <c r="A205" i="3"/>
  <c r="A206" i="3"/>
  <c r="A207" i="3"/>
  <c r="A208" i="3"/>
  <c r="A209" i="3"/>
  <c r="A210" i="3"/>
  <c r="A211" i="3"/>
  <c r="A20" i="13" l="1"/>
  <c r="C20" i="13"/>
  <c r="D20" i="13"/>
  <c r="N20" i="13"/>
  <c r="A19" i="13" l="1"/>
  <c r="C19" i="13"/>
  <c r="D19" i="13" s="1"/>
  <c r="N19" i="13"/>
  <c r="A18" i="13" l="1"/>
  <c r="D18" i="13"/>
  <c r="N18" i="13"/>
  <c r="A17" i="13" l="1"/>
  <c r="C17" i="13"/>
  <c r="D17" i="13" s="1"/>
  <c r="N17" i="13"/>
  <c r="P96" i="4" l="1"/>
  <c r="C96" i="4"/>
  <c r="D96" i="4" s="1"/>
  <c r="A96" i="4"/>
  <c r="Q4" i="20" l="1"/>
  <c r="D4" i="20"/>
  <c r="A16" i="13" l="1"/>
  <c r="C16" i="13"/>
  <c r="D16" i="13"/>
  <c r="N16" i="13"/>
  <c r="A15" i="13"/>
  <c r="D15" i="13"/>
  <c r="N15" i="13"/>
  <c r="M3" i="34" l="1"/>
  <c r="M4" i="34"/>
  <c r="M5" i="34"/>
  <c r="M6" i="34"/>
  <c r="M7" i="34"/>
  <c r="M8" i="34"/>
  <c r="M9" i="34"/>
  <c r="M10" i="34"/>
  <c r="M11" i="34"/>
  <c r="B3" i="34" l="1"/>
  <c r="C3" i="34" s="1"/>
  <c r="A3" i="34"/>
  <c r="C4" i="34"/>
  <c r="A41" i="14" l="1"/>
  <c r="C41" i="14"/>
  <c r="D41" i="14"/>
  <c r="P41" i="14"/>
  <c r="A14" i="13" l="1"/>
  <c r="D14" i="13"/>
  <c r="N14" i="13"/>
  <c r="A13" i="13" l="1"/>
  <c r="D13" i="13"/>
  <c r="N13" i="13"/>
  <c r="A18" i="9" l="1"/>
  <c r="C18" i="9"/>
  <c r="D18" i="9"/>
  <c r="N18" i="9"/>
  <c r="C26" i="32"/>
  <c r="D26" i="32"/>
  <c r="N26" i="32"/>
  <c r="A38" i="14"/>
  <c r="A39" i="14"/>
  <c r="A40" i="14"/>
  <c r="C38" i="14"/>
  <c r="C39" i="14"/>
  <c r="C40" i="14"/>
  <c r="D38" i="14"/>
  <c r="D39" i="14"/>
  <c r="D40" i="14"/>
  <c r="P38" i="14"/>
  <c r="P39" i="14"/>
  <c r="P40" i="14"/>
  <c r="A34" i="8"/>
  <c r="C34" i="8"/>
  <c r="D34" i="8"/>
  <c r="M34" i="8"/>
  <c r="A12" i="13" l="1"/>
  <c r="C12" i="13"/>
  <c r="D12" i="13"/>
  <c r="N12" i="13"/>
  <c r="A37" i="14" l="1"/>
  <c r="C37" i="14"/>
  <c r="D37" i="14"/>
  <c r="P37" i="14"/>
  <c r="A36" i="14"/>
  <c r="C36" i="14"/>
  <c r="D36" i="14"/>
  <c r="P36" i="14"/>
  <c r="A47" i="10"/>
  <c r="C47" i="10"/>
  <c r="D47" i="10"/>
  <c r="O47" i="10"/>
  <c r="A17" i="9" l="1"/>
  <c r="C17" i="9"/>
  <c r="D17" i="9"/>
  <c r="N17" i="9"/>
  <c r="A33" i="8"/>
  <c r="C33" i="8"/>
  <c r="D33" i="8"/>
  <c r="M33" i="8"/>
  <c r="D35" i="14" l="1"/>
  <c r="A35" i="14"/>
  <c r="C35" i="14"/>
  <c r="P35" i="14"/>
  <c r="C210" i="3" l="1"/>
  <c r="D210" i="3" s="1"/>
  <c r="C207" i="3"/>
  <c r="D207" i="3" s="1"/>
  <c r="C208" i="3"/>
  <c r="C209" i="3"/>
  <c r="C211" i="3"/>
  <c r="C212" i="3"/>
  <c r="D212" i="3" s="1"/>
  <c r="C213" i="3"/>
  <c r="D208" i="3"/>
  <c r="D209" i="3"/>
  <c r="D211" i="3"/>
  <c r="D213" i="3"/>
  <c r="N207" i="3"/>
  <c r="N208" i="3"/>
  <c r="N209" i="3"/>
  <c r="N210" i="3"/>
  <c r="N211" i="3"/>
  <c r="N212" i="3"/>
  <c r="N213" i="3"/>
  <c r="C137" i="3" l="1"/>
  <c r="D137" i="3" s="1"/>
  <c r="N137" i="3"/>
  <c r="C140" i="3"/>
  <c r="D140" i="3" s="1"/>
  <c r="N140" i="3"/>
  <c r="C138" i="3"/>
  <c r="D138" i="3" s="1"/>
  <c r="N138" i="3"/>
  <c r="C139" i="3"/>
  <c r="D139" i="3" s="1"/>
  <c r="N139" i="3"/>
  <c r="M32" i="8" l="1"/>
  <c r="A32" i="8"/>
  <c r="C32" i="8"/>
  <c r="D32" i="8" s="1"/>
  <c r="A33" i="14"/>
  <c r="A34" i="14"/>
  <c r="C33" i="14"/>
  <c r="C34" i="14"/>
  <c r="D33" i="14"/>
  <c r="D34" i="14"/>
  <c r="P33" i="14"/>
  <c r="P34" i="14"/>
  <c r="A32" i="14" l="1"/>
  <c r="C32" i="14"/>
  <c r="D32" i="14"/>
  <c r="P32" i="14"/>
  <c r="A31" i="14"/>
  <c r="C31" i="14"/>
  <c r="D31" i="14"/>
  <c r="P31" i="14"/>
  <c r="A29" i="14"/>
  <c r="A30" i="14"/>
  <c r="C29" i="14"/>
  <c r="C30" i="14"/>
  <c r="D29" i="14"/>
  <c r="D30" i="14"/>
  <c r="P29" i="14"/>
  <c r="P30" i="14"/>
  <c r="A28" i="14"/>
  <c r="C28" i="14"/>
  <c r="D28" i="14"/>
  <c r="P28" i="14"/>
  <c r="C27" i="14"/>
  <c r="D27" i="14" s="1"/>
  <c r="C26" i="14"/>
  <c r="D26" i="14" s="1"/>
  <c r="A27" i="14"/>
  <c r="P27" i="14"/>
  <c r="A26" i="14"/>
  <c r="P26" i="14"/>
  <c r="A25" i="14"/>
  <c r="C25" i="14"/>
  <c r="D25" i="14"/>
  <c r="P25" i="14"/>
  <c r="C2" i="34" l="1"/>
  <c r="C5" i="34"/>
  <c r="C6" i="34"/>
  <c r="C7" i="34"/>
  <c r="C8" i="34"/>
  <c r="C9" i="34"/>
  <c r="C10" i="34"/>
  <c r="C11" i="34"/>
  <c r="C3" i="22"/>
  <c r="C4" i="22"/>
  <c r="C5" i="22"/>
  <c r="C6" i="22"/>
  <c r="C7" i="22"/>
  <c r="C8" i="22"/>
  <c r="C9" i="22"/>
  <c r="C10" i="22"/>
  <c r="C11" i="22"/>
  <c r="C2" i="22"/>
  <c r="B2" i="34"/>
  <c r="B4" i="34"/>
  <c r="B5" i="34"/>
  <c r="B6" i="34"/>
  <c r="B7" i="34"/>
  <c r="B8" i="34"/>
  <c r="B9" i="34"/>
  <c r="B10" i="34"/>
  <c r="B11" i="34"/>
  <c r="A11" i="34"/>
  <c r="A10" i="34"/>
  <c r="A9" i="34"/>
  <c r="A8" i="34"/>
  <c r="A7" i="34"/>
  <c r="A6" i="34"/>
  <c r="A5" i="34"/>
  <c r="A4" i="34"/>
  <c r="M2" i="34"/>
  <c r="A2" i="34"/>
  <c r="C2" i="21" l="1"/>
  <c r="C3" i="21"/>
  <c r="C4" i="21"/>
  <c r="C5" i="21"/>
  <c r="C6" i="21"/>
  <c r="C7" i="21"/>
  <c r="C8" i="21"/>
  <c r="C9" i="21"/>
  <c r="C10" i="21"/>
  <c r="C11" i="21"/>
  <c r="N3" i="16" l="1"/>
  <c r="N4" i="16"/>
  <c r="N5" i="16"/>
  <c r="N6" i="16"/>
  <c r="N7" i="16"/>
  <c r="N8" i="16"/>
  <c r="N9" i="16"/>
  <c r="N10" i="16"/>
  <c r="N11" i="16"/>
  <c r="N12" i="16"/>
  <c r="N13" i="16"/>
  <c r="P15" i="14"/>
  <c r="P11" i="14"/>
  <c r="P2" i="14"/>
  <c r="N6" i="13"/>
  <c r="N7" i="13"/>
  <c r="N8" i="13"/>
  <c r="N9" i="13"/>
  <c r="N10" i="13"/>
  <c r="N11" i="13"/>
  <c r="A3" i="13"/>
  <c r="A4" i="13"/>
  <c r="A5" i="13"/>
  <c r="A6" i="13"/>
  <c r="A7" i="13"/>
  <c r="A8" i="13"/>
  <c r="A9" i="13"/>
  <c r="A10" i="13"/>
  <c r="A11" i="13"/>
  <c r="D2" i="11"/>
  <c r="D3" i="11"/>
  <c r="D4" i="11"/>
  <c r="D5" i="11"/>
  <c r="D6" i="11"/>
  <c r="D7" i="11"/>
  <c r="D8" i="11"/>
  <c r="D9" i="11"/>
  <c r="D10" i="11"/>
  <c r="D11" i="11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D3" i="7"/>
  <c r="D2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2" i="32"/>
  <c r="N3" i="32"/>
  <c r="N4" i="32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C2" i="17"/>
  <c r="D2" i="17" s="1"/>
  <c r="C3" i="17"/>
  <c r="D3" i="17" s="1"/>
  <c r="C4" i="17"/>
  <c r="D4" i="17" s="1"/>
  <c r="C5" i="17"/>
  <c r="C6" i="17"/>
  <c r="C7" i="17"/>
  <c r="C8" i="17"/>
  <c r="C9" i="17"/>
  <c r="C10" i="17"/>
  <c r="C11" i="17"/>
  <c r="D11" i="17" s="1"/>
  <c r="D5" i="17"/>
  <c r="D6" i="17"/>
  <c r="D7" i="17"/>
  <c r="D8" i="17"/>
  <c r="D9" i="17"/>
  <c r="D10" i="17"/>
  <c r="D2" i="16" l="1"/>
  <c r="D3" i="16"/>
  <c r="D4" i="16"/>
  <c r="D5" i="16"/>
  <c r="D6" i="16"/>
  <c r="D7" i="16"/>
  <c r="D8" i="16"/>
  <c r="D9" i="16"/>
  <c r="D10" i="16"/>
  <c r="D11" i="16"/>
  <c r="D12" i="16"/>
  <c r="D13" i="16"/>
  <c r="A199" i="3" l="1"/>
  <c r="A200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C2" i="9" l="1"/>
  <c r="D2" i="9" s="1"/>
  <c r="C3" i="9"/>
  <c r="D3" i="9" s="1"/>
  <c r="C4" i="9"/>
  <c r="D4" i="9" s="1"/>
  <c r="C5" i="9"/>
  <c r="D5" i="9" s="1"/>
  <c r="C6" i="9"/>
  <c r="D6" i="9" s="1"/>
  <c r="C7" i="9"/>
  <c r="D7" i="9" s="1"/>
  <c r="C8" i="9"/>
  <c r="D8" i="9" s="1"/>
  <c r="C9" i="9"/>
  <c r="D9" i="9" s="1"/>
  <c r="C10" i="9"/>
  <c r="D10" i="9" s="1"/>
  <c r="C11" i="9"/>
  <c r="D11" i="9" s="1"/>
  <c r="C12" i="9"/>
  <c r="D12" i="9" s="1"/>
  <c r="C13" i="9"/>
  <c r="D13" i="9" s="1"/>
  <c r="C14" i="9"/>
  <c r="D14" i="9" s="1"/>
  <c r="C15" i="9"/>
  <c r="D15" i="9" s="1"/>
  <c r="C16" i="9"/>
  <c r="D16" i="9" s="1"/>
  <c r="C196" i="3" l="1"/>
  <c r="D196" i="3" s="1"/>
  <c r="N196" i="3"/>
  <c r="C200" i="3"/>
  <c r="D200" i="3" s="1"/>
  <c r="N200" i="3"/>
  <c r="C201" i="3"/>
  <c r="D201" i="3" s="1"/>
  <c r="N201" i="3"/>
  <c r="C197" i="3"/>
  <c r="D197" i="3" s="1"/>
  <c r="N197" i="3"/>
  <c r="C199" i="3"/>
  <c r="D199" i="3" s="1"/>
  <c r="N199" i="3"/>
  <c r="C203" i="3"/>
  <c r="D203" i="3" s="1"/>
  <c r="N203" i="3"/>
  <c r="C204" i="3"/>
  <c r="D204" i="3" s="1"/>
  <c r="N204" i="3"/>
  <c r="C205" i="3"/>
  <c r="D205" i="3" s="1"/>
  <c r="N205" i="3"/>
  <c r="C3" i="8" l="1"/>
  <c r="D3" i="8" s="1"/>
  <c r="C4" i="8"/>
  <c r="D4" i="8" s="1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2" i="8"/>
  <c r="D2" i="8" s="1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A164" i="3" l="1"/>
  <c r="A165" i="3"/>
  <c r="A166" i="3"/>
  <c r="A167" i="3"/>
  <c r="A168" i="3"/>
  <c r="A2" i="7" l="1"/>
  <c r="A3" i="7"/>
  <c r="A4" i="7"/>
  <c r="A5" i="7"/>
  <c r="C25" i="32"/>
  <c r="D25" i="32" s="1"/>
  <c r="A25" i="32"/>
  <c r="C24" i="32"/>
  <c r="D24" i="32" s="1"/>
  <c r="A24" i="32"/>
  <c r="C23" i="32"/>
  <c r="D23" i="32" s="1"/>
  <c r="A23" i="32"/>
  <c r="C22" i="32"/>
  <c r="D22" i="32" s="1"/>
  <c r="A22" i="32"/>
  <c r="C21" i="32"/>
  <c r="D21" i="32" s="1"/>
  <c r="A21" i="32"/>
  <c r="C20" i="32"/>
  <c r="D20" i="32" s="1"/>
  <c r="A20" i="32"/>
  <c r="C19" i="32"/>
  <c r="D19" i="32" s="1"/>
  <c r="A19" i="32"/>
  <c r="C18" i="32"/>
  <c r="D18" i="32" s="1"/>
  <c r="A18" i="32"/>
  <c r="C17" i="32"/>
  <c r="D17" i="32" s="1"/>
  <c r="A17" i="32"/>
  <c r="C16" i="32"/>
  <c r="D16" i="32" s="1"/>
  <c r="A16" i="32"/>
  <c r="C15" i="32"/>
  <c r="D15" i="32" s="1"/>
  <c r="A15" i="32"/>
  <c r="C14" i="32"/>
  <c r="D14" i="32" s="1"/>
  <c r="A14" i="32"/>
  <c r="C13" i="32"/>
  <c r="D13" i="32" s="1"/>
  <c r="A13" i="32"/>
  <c r="C12" i="32"/>
  <c r="D12" i="32" s="1"/>
  <c r="A12" i="32"/>
  <c r="C11" i="32"/>
  <c r="D11" i="32" s="1"/>
  <c r="A11" i="32"/>
  <c r="C10" i="32"/>
  <c r="D10" i="32" s="1"/>
  <c r="A10" i="32"/>
  <c r="C9" i="32"/>
  <c r="D9" i="32" s="1"/>
  <c r="A9" i="32"/>
  <c r="C8" i="32"/>
  <c r="D8" i="32" s="1"/>
  <c r="A8" i="32"/>
  <c r="C7" i="32"/>
  <c r="D7" i="32" s="1"/>
  <c r="A7" i="32"/>
  <c r="C6" i="32"/>
  <c r="D6" i="32" s="1"/>
  <c r="A6" i="32"/>
  <c r="C5" i="32"/>
  <c r="D5" i="32" s="1"/>
  <c r="A5" i="32"/>
  <c r="C4" i="32"/>
  <c r="D4" i="32" s="1"/>
  <c r="A4" i="32"/>
  <c r="C3" i="32"/>
  <c r="D3" i="32" s="1"/>
  <c r="A3" i="32"/>
  <c r="C2" i="32"/>
  <c r="D2" i="32" s="1"/>
  <c r="A2" i="32"/>
  <c r="A163" i="3" l="1"/>
  <c r="C191" i="3"/>
  <c r="D191" i="3" s="1"/>
  <c r="N191" i="3"/>
  <c r="C187" i="3"/>
  <c r="D187" i="3" s="1"/>
  <c r="N187" i="3"/>
  <c r="C194" i="3"/>
  <c r="D194" i="3" s="1"/>
  <c r="N194" i="3"/>
  <c r="C190" i="3"/>
  <c r="D190" i="3" s="1"/>
  <c r="N190" i="3"/>
  <c r="C188" i="3"/>
  <c r="D188" i="3" s="1"/>
  <c r="N188" i="3"/>
  <c r="C185" i="3"/>
  <c r="D185" i="3" s="1"/>
  <c r="N185" i="3"/>
  <c r="C182" i="3"/>
  <c r="D182" i="3" s="1"/>
  <c r="N182" i="3"/>
  <c r="C181" i="3"/>
  <c r="D181" i="3" s="1"/>
  <c r="N181" i="3"/>
  <c r="C186" i="3"/>
  <c r="D186" i="3" s="1"/>
  <c r="N186" i="3"/>
  <c r="C189" i="3"/>
  <c r="D189" i="3" s="1"/>
  <c r="N189" i="3"/>
  <c r="C195" i="3"/>
  <c r="D195" i="3" s="1"/>
  <c r="N195" i="3"/>
  <c r="C202" i="3"/>
  <c r="D202" i="3" s="1"/>
  <c r="N202" i="3"/>
  <c r="C206" i="3"/>
  <c r="D206" i="3" s="1"/>
  <c r="N206" i="3"/>
  <c r="N198" i="3"/>
  <c r="C198" i="3"/>
  <c r="D198" i="3" s="1"/>
  <c r="N193" i="3"/>
  <c r="C193" i="3"/>
  <c r="D193" i="3" s="1"/>
  <c r="N192" i="3"/>
  <c r="C192" i="3"/>
  <c r="D192" i="3" s="1"/>
  <c r="N184" i="3"/>
  <c r="C184" i="3"/>
  <c r="D184" i="3" s="1"/>
  <c r="N183" i="3"/>
  <c r="C183" i="3"/>
  <c r="D183" i="3" s="1"/>
  <c r="N180" i="3"/>
  <c r="C180" i="3"/>
  <c r="D180" i="3" s="1"/>
  <c r="N179" i="3"/>
  <c r="C179" i="3"/>
  <c r="D179" i="3" s="1"/>
  <c r="C174" i="3"/>
  <c r="D174" i="3" s="1"/>
  <c r="N174" i="3"/>
  <c r="C172" i="3"/>
  <c r="D172" i="3" s="1"/>
  <c r="N172" i="3"/>
  <c r="C170" i="3"/>
  <c r="D170" i="3" s="1"/>
  <c r="N170" i="3"/>
  <c r="C171" i="3"/>
  <c r="D171" i="3" s="1"/>
  <c r="N171" i="3"/>
  <c r="C169" i="3"/>
  <c r="D169" i="3" s="1"/>
  <c r="N169" i="3"/>
  <c r="C168" i="3"/>
  <c r="D168" i="3" s="1"/>
  <c r="N168" i="3"/>
  <c r="C173" i="3"/>
  <c r="D173" i="3" s="1"/>
  <c r="N173" i="3"/>
  <c r="C176" i="3"/>
  <c r="D176" i="3" s="1"/>
  <c r="N176" i="3"/>
  <c r="C177" i="3"/>
  <c r="D177" i="3" s="1"/>
  <c r="N177" i="3"/>
  <c r="C175" i="3"/>
  <c r="D175" i="3" s="1"/>
  <c r="N175" i="3"/>
  <c r="C166" i="3"/>
  <c r="D166" i="3" s="1"/>
  <c r="N166" i="3"/>
  <c r="C167" i="3"/>
  <c r="D167" i="3" s="1"/>
  <c r="N167" i="3"/>
  <c r="C178" i="3"/>
  <c r="D178" i="3" s="1"/>
  <c r="N178" i="3"/>
  <c r="C165" i="3"/>
  <c r="D165" i="3" s="1"/>
  <c r="N165" i="3"/>
  <c r="N163" i="3"/>
  <c r="C163" i="3"/>
  <c r="D163" i="3" s="1"/>
  <c r="C164" i="3"/>
  <c r="D164" i="3" s="1"/>
  <c r="N164" i="3"/>
  <c r="C11" i="13" l="1"/>
  <c r="D11" i="13" s="1"/>
  <c r="C10" i="13"/>
  <c r="D10" i="13" s="1"/>
  <c r="C9" i="13"/>
  <c r="D9" i="13" s="1"/>
  <c r="C8" i="13"/>
  <c r="D8" i="13" s="1"/>
  <c r="C7" i="13"/>
  <c r="D7" i="13" s="1"/>
  <c r="M2" i="22" l="1"/>
  <c r="M3" i="22"/>
  <c r="M4" i="22"/>
  <c r="M5" i="22"/>
  <c r="M6" i="22"/>
  <c r="M7" i="22"/>
  <c r="M8" i="22"/>
  <c r="M9" i="22"/>
  <c r="M10" i="22"/>
  <c r="M11" i="22"/>
  <c r="B2" i="22"/>
  <c r="B3" i="22"/>
  <c r="B4" i="22"/>
  <c r="B5" i="22"/>
  <c r="B6" i="22"/>
  <c r="B7" i="22"/>
  <c r="B8" i="22"/>
  <c r="B9" i="22"/>
  <c r="B10" i="22"/>
  <c r="B11" i="22"/>
  <c r="A2" i="22"/>
  <c r="A3" i="22"/>
  <c r="A4" i="22"/>
  <c r="A5" i="22"/>
  <c r="A6" i="22"/>
  <c r="A7" i="22"/>
  <c r="A8" i="22"/>
  <c r="A9" i="22"/>
  <c r="A10" i="22"/>
  <c r="A11" i="22"/>
  <c r="Q2" i="20"/>
  <c r="Q3" i="20"/>
  <c r="Q5" i="20"/>
  <c r="Q6" i="20"/>
  <c r="Q7" i="20"/>
  <c r="Q8" i="20"/>
  <c r="Q9" i="20"/>
  <c r="Q10" i="20"/>
  <c r="Q11" i="20"/>
  <c r="D3" i="20"/>
  <c r="D5" i="20"/>
  <c r="D6" i="20"/>
  <c r="D7" i="20"/>
  <c r="D8" i="20"/>
  <c r="D9" i="20"/>
  <c r="D10" i="20"/>
  <c r="D11" i="20"/>
  <c r="D2" i="20"/>
  <c r="C3" i="20"/>
  <c r="C4" i="20"/>
  <c r="C5" i="20"/>
  <c r="C6" i="20"/>
  <c r="C7" i="20"/>
  <c r="C8" i="20"/>
  <c r="C9" i="20"/>
  <c r="C10" i="20"/>
  <c r="C11" i="20"/>
  <c r="C2" i="20"/>
  <c r="N3" i="18"/>
  <c r="N4" i="18"/>
  <c r="N5" i="18"/>
  <c r="N6" i="18"/>
  <c r="N7" i="18"/>
  <c r="N8" i="18"/>
  <c r="N9" i="18"/>
  <c r="N10" i="18"/>
  <c r="N11" i="18"/>
  <c r="C3" i="18"/>
  <c r="C4" i="18"/>
  <c r="C5" i="18"/>
  <c r="C6" i="18"/>
  <c r="C7" i="18"/>
  <c r="C8" i="18"/>
  <c r="C9" i="18"/>
  <c r="C10" i="18"/>
  <c r="C11" i="18"/>
  <c r="C2" i="18"/>
  <c r="N3" i="17"/>
  <c r="N4" i="17"/>
  <c r="N5" i="17"/>
  <c r="N6" i="17"/>
  <c r="N7" i="17"/>
  <c r="N8" i="17"/>
  <c r="N9" i="17"/>
  <c r="N10" i="17"/>
  <c r="N11" i="17"/>
  <c r="N2" i="17"/>
  <c r="A2" i="17"/>
  <c r="A3" i="17"/>
  <c r="A4" i="17"/>
  <c r="A5" i="17"/>
  <c r="A6" i="17"/>
  <c r="A7" i="17"/>
  <c r="A8" i="17"/>
  <c r="A9" i="17"/>
  <c r="A10" i="17"/>
  <c r="A11" i="17"/>
  <c r="D2" i="19" l="1"/>
  <c r="D3" i="19"/>
  <c r="D4" i="19"/>
  <c r="D5" i="19"/>
  <c r="D6" i="19"/>
  <c r="D7" i="19"/>
  <c r="D8" i="19"/>
  <c r="D9" i="19"/>
  <c r="D10" i="19"/>
  <c r="D11" i="19"/>
  <c r="N2" i="16" l="1"/>
  <c r="C3" i="16"/>
  <c r="C4" i="16"/>
  <c r="C5" i="16"/>
  <c r="C6" i="16"/>
  <c r="C7" i="16"/>
  <c r="C8" i="16"/>
  <c r="C9" i="16"/>
  <c r="C10" i="16"/>
  <c r="C11" i="16"/>
  <c r="C12" i="16"/>
  <c r="C13" i="16"/>
  <c r="C2" i="16"/>
  <c r="A2" i="16"/>
  <c r="A3" i="16"/>
  <c r="A4" i="16"/>
  <c r="A5" i="16"/>
  <c r="A6" i="16"/>
  <c r="A7" i="16"/>
  <c r="A8" i="16"/>
  <c r="A9" i="16"/>
  <c r="A10" i="16"/>
  <c r="A11" i="16"/>
  <c r="A12" i="16"/>
  <c r="A13" i="16"/>
  <c r="C3" i="13"/>
  <c r="C4" i="13"/>
  <c r="C5" i="13"/>
  <c r="C6" i="13"/>
  <c r="C2" i="13"/>
  <c r="C3" i="15"/>
  <c r="D3" i="15" s="1"/>
  <c r="C4" i="15"/>
  <c r="D4" i="15" s="1"/>
  <c r="C5" i="15"/>
  <c r="D5" i="15" s="1"/>
  <c r="C6" i="15"/>
  <c r="D6" i="15" s="1"/>
  <c r="C7" i="15"/>
  <c r="D7" i="15" s="1"/>
  <c r="C8" i="15"/>
  <c r="D8" i="15" s="1"/>
  <c r="C9" i="15"/>
  <c r="D9" i="15" s="1"/>
  <c r="C10" i="15"/>
  <c r="D10" i="15" s="1"/>
  <c r="C11" i="15"/>
  <c r="D11" i="15" s="1"/>
  <c r="C12" i="15"/>
  <c r="D12" i="15" s="1"/>
  <c r="C13" i="15"/>
  <c r="D13" i="15" s="1"/>
  <c r="C2" i="15"/>
  <c r="D2" i="15" s="1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" i="14"/>
  <c r="M3" i="12"/>
  <c r="M4" i="12"/>
  <c r="M5" i="12"/>
  <c r="M6" i="12"/>
  <c r="M7" i="12"/>
  <c r="M8" i="12"/>
  <c r="M9" i="12"/>
  <c r="M10" i="12"/>
  <c r="M11" i="12"/>
  <c r="M2" i="12"/>
  <c r="A2" i="12"/>
  <c r="A3" i="12"/>
  <c r="A4" i="12"/>
  <c r="A5" i="12"/>
  <c r="A6" i="12"/>
  <c r="A7" i="12"/>
  <c r="A8" i="12"/>
  <c r="A9" i="12"/>
  <c r="A10" i="12"/>
  <c r="A11" i="12"/>
  <c r="C2" i="12"/>
  <c r="D2" i="12" s="1"/>
  <c r="C3" i="12"/>
  <c r="D3" i="12" s="1"/>
  <c r="C4" i="12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D4" i="12"/>
  <c r="O3" i="11"/>
  <c r="O4" i="11"/>
  <c r="O5" i="11"/>
  <c r="O6" i="11"/>
  <c r="O7" i="11"/>
  <c r="O8" i="11"/>
  <c r="O9" i="11"/>
  <c r="O10" i="11"/>
  <c r="O11" i="11"/>
  <c r="O2" i="11"/>
  <c r="C2" i="11" l="1"/>
  <c r="C3" i="11"/>
  <c r="C4" i="11"/>
  <c r="C5" i="11"/>
  <c r="C6" i="11"/>
  <c r="C7" i="11"/>
  <c r="C8" i="11"/>
  <c r="C9" i="11"/>
  <c r="C10" i="11"/>
  <c r="C11" i="11"/>
  <c r="A11" i="11"/>
  <c r="A10" i="11"/>
  <c r="A9" i="11"/>
  <c r="A8" i="11"/>
  <c r="A7" i="11"/>
  <c r="A6" i="11"/>
  <c r="A5" i="11"/>
  <c r="A4" i="11"/>
  <c r="A3" i="11"/>
  <c r="A2" i="11"/>
  <c r="C3" i="25"/>
  <c r="D3" i="25" s="1"/>
  <c r="C4" i="25"/>
  <c r="D4" i="25" s="1"/>
  <c r="C2" i="25"/>
  <c r="D2" i="25" s="1"/>
  <c r="A5" i="5"/>
  <c r="C5" i="5"/>
  <c r="D5" i="5" s="1"/>
  <c r="O5" i="5"/>
  <c r="C3" i="6"/>
  <c r="D3" i="6" s="1"/>
  <c r="C4" i="6"/>
  <c r="D4" i="6" s="1"/>
  <c r="C5" i="6"/>
  <c r="D5" i="6" s="1"/>
  <c r="C6" i="6"/>
  <c r="D6" i="6" s="1"/>
  <c r="C7" i="6"/>
  <c r="D7" i="6" s="1"/>
  <c r="C8" i="6"/>
  <c r="D8" i="6" s="1"/>
  <c r="C9" i="6"/>
  <c r="D9" i="6" s="1"/>
  <c r="C10" i="6"/>
  <c r="D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2" i="6"/>
  <c r="D2" i="6" s="1"/>
  <c r="C3" i="5"/>
  <c r="D3" i="5" s="1"/>
  <c r="C4" i="5"/>
  <c r="D4" i="5" s="1"/>
  <c r="C2" i="5"/>
  <c r="D2" i="5" s="1"/>
  <c r="C163" i="4" l="1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 s="1"/>
  <c r="C176" i="4"/>
  <c r="D176" i="4" s="1"/>
  <c r="C177" i="4"/>
  <c r="D177" i="4" s="1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D184" i="4" s="1"/>
  <c r="C185" i="4"/>
  <c r="D185" i="4" s="1"/>
  <c r="C186" i="4"/>
  <c r="D186" i="4" s="1"/>
  <c r="C187" i="4"/>
  <c r="D187" i="4" s="1"/>
  <c r="C188" i="4"/>
  <c r="D188" i="4" s="1"/>
  <c r="C189" i="4"/>
  <c r="D189" i="4" s="1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D208" i="4" s="1"/>
  <c r="C209" i="4"/>
  <c r="D209" i="4" s="1"/>
  <c r="C210" i="4"/>
  <c r="D210" i="4" s="1"/>
  <c r="C211" i="4"/>
  <c r="D211" i="4" s="1"/>
  <c r="C212" i="4"/>
  <c r="D212" i="4" s="1"/>
  <c r="C213" i="4"/>
  <c r="D213" i="4" s="1"/>
  <c r="C214" i="4"/>
  <c r="D214" i="4" s="1"/>
  <c r="C215" i="4"/>
  <c r="D215" i="4" s="1"/>
  <c r="C216" i="4"/>
  <c r="D216" i="4" s="1"/>
  <c r="C217" i="4"/>
  <c r="D217" i="4" s="1"/>
  <c r="C218" i="4"/>
  <c r="D218" i="4" s="1"/>
  <c r="C219" i="4"/>
  <c r="D219" i="4" s="1"/>
  <c r="C220" i="4"/>
  <c r="D220" i="4" s="1"/>
  <c r="C221" i="4"/>
  <c r="D221" i="4" s="1"/>
  <c r="C222" i="4"/>
  <c r="D222" i="4" s="1"/>
  <c r="C223" i="4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42" i="4"/>
  <c r="D242" i="4" s="1"/>
  <c r="C243" i="4"/>
  <c r="D243" i="4" s="1"/>
  <c r="C244" i="4"/>
  <c r="D244" i="4" s="1"/>
  <c r="C245" i="4"/>
  <c r="D245" i="4" s="1"/>
  <c r="C246" i="4"/>
  <c r="D246" i="4" s="1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D253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C261" i="4"/>
  <c r="D261" i="4" s="1"/>
  <c r="C262" i="4"/>
  <c r="D262" i="4" s="1"/>
  <c r="C263" i="4"/>
  <c r="D263" i="4" s="1"/>
  <c r="C264" i="4"/>
  <c r="D264" i="4" s="1"/>
  <c r="C265" i="4"/>
  <c r="D265" i="4" s="1"/>
  <c r="C266" i="4"/>
  <c r="D266" i="4" s="1"/>
  <c r="C267" i="4"/>
  <c r="D267" i="4" s="1"/>
  <c r="C268" i="4"/>
  <c r="D268" i="4" s="1"/>
  <c r="C269" i="4"/>
  <c r="D269" i="4" s="1"/>
  <c r="C270" i="4"/>
  <c r="D270" i="4" s="1"/>
  <c r="C271" i="4"/>
  <c r="D271" i="4" s="1"/>
  <c r="C272" i="4"/>
  <c r="D272" i="4" s="1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D278" i="4" s="1"/>
  <c r="C279" i="4"/>
  <c r="D279" i="4" s="1"/>
  <c r="C280" i="4"/>
  <c r="D280" i="4" s="1"/>
  <c r="C281" i="4"/>
  <c r="D281" i="4" s="1"/>
  <c r="C282" i="4"/>
  <c r="D282" i="4" s="1"/>
  <c r="C283" i="4"/>
  <c r="D283" i="4" s="1"/>
  <c r="C284" i="4"/>
  <c r="D284" i="4" s="1"/>
  <c r="C285" i="4"/>
  <c r="D285" i="4" s="1"/>
  <c r="C286" i="4"/>
  <c r="D286" i="4" s="1"/>
  <c r="C287" i="4"/>
  <c r="D287" i="4" s="1"/>
  <c r="C288" i="4"/>
  <c r="D288" i="4" s="1"/>
  <c r="C289" i="4"/>
  <c r="D289" i="4" s="1"/>
  <c r="C290" i="4"/>
  <c r="D290" i="4" s="1"/>
  <c r="C291" i="4"/>
  <c r="D291" i="4" s="1"/>
  <c r="C292" i="4"/>
  <c r="D292" i="4" s="1"/>
  <c r="C293" i="4"/>
  <c r="D293" i="4" s="1"/>
  <c r="C294" i="4"/>
  <c r="D294" i="4" s="1"/>
  <c r="C295" i="4"/>
  <c r="D295" i="4" s="1"/>
  <c r="C296" i="4"/>
  <c r="D296" i="4" s="1"/>
  <c r="C297" i="4"/>
  <c r="D297" i="4" s="1"/>
  <c r="C298" i="4"/>
  <c r="D298" i="4" s="1"/>
  <c r="C299" i="4"/>
  <c r="D299" i="4" s="1"/>
  <c r="C300" i="4"/>
  <c r="D300" i="4" s="1"/>
  <c r="C301" i="4"/>
  <c r="D301" i="4" s="1"/>
  <c r="C302" i="4"/>
  <c r="D302" i="4" s="1"/>
  <c r="C303" i="4"/>
  <c r="D303" i="4" s="1"/>
  <c r="C304" i="4"/>
  <c r="D304" i="4" s="1"/>
  <c r="C305" i="4"/>
  <c r="D305" i="4" s="1"/>
  <c r="C306" i="4"/>
  <c r="D306" i="4" s="1"/>
  <c r="C307" i="4"/>
  <c r="D307" i="4" s="1"/>
  <c r="C308" i="4"/>
  <c r="D308" i="4" s="1"/>
  <c r="C309" i="4"/>
  <c r="D309" i="4" s="1"/>
  <c r="C310" i="4"/>
  <c r="D310" i="4" s="1"/>
  <c r="C311" i="4"/>
  <c r="D311" i="4" s="1"/>
  <c r="C162" i="4"/>
  <c r="D162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 s="1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 s="1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 s="1"/>
  <c r="C120" i="4"/>
  <c r="D120" i="4" s="1"/>
  <c r="C121" i="4"/>
  <c r="D121" i="4" s="1"/>
  <c r="C122" i="4"/>
  <c r="D122" i="4" s="1"/>
  <c r="C123" i="4"/>
  <c r="D123" i="4" s="1"/>
  <c r="C124" i="4"/>
  <c r="D124" i="4" s="1"/>
  <c r="C125" i="4"/>
  <c r="D125" i="4" s="1"/>
  <c r="C126" i="4"/>
  <c r="D126" i="4" s="1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 s="1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 s="1"/>
  <c r="C154" i="4"/>
  <c r="D154" i="4" s="1"/>
  <c r="C155" i="4"/>
  <c r="D155" i="4" s="1"/>
  <c r="C156" i="4"/>
  <c r="D156" i="4" s="1"/>
  <c r="C157" i="4"/>
  <c r="D157" i="4" s="1"/>
  <c r="C158" i="4"/>
  <c r="D158" i="4" s="1"/>
  <c r="C159" i="4"/>
  <c r="D159" i="4" s="1"/>
  <c r="C160" i="4"/>
  <c r="D160" i="4" s="1"/>
  <c r="C161" i="4"/>
  <c r="D161" i="4" s="1"/>
  <c r="C73" i="4"/>
  <c r="D73" i="4" s="1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2" i="4"/>
  <c r="D2" i="4" s="1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2" i="3"/>
  <c r="D2" i="3" s="1"/>
  <c r="A2" i="20"/>
  <c r="A3" i="20"/>
  <c r="A4" i="20"/>
  <c r="A5" i="20"/>
  <c r="A6" i="20"/>
  <c r="A7" i="20"/>
  <c r="A8" i="20"/>
  <c r="A9" i="20"/>
  <c r="A10" i="20"/>
  <c r="A11" i="20"/>
  <c r="K3" i="19" l="1"/>
  <c r="K4" i="19"/>
  <c r="K5" i="19"/>
  <c r="K6" i="19"/>
  <c r="K7" i="19"/>
  <c r="K8" i="19"/>
  <c r="K9" i="19"/>
  <c r="K10" i="19"/>
  <c r="K11" i="19"/>
  <c r="K2" i="19"/>
  <c r="A3" i="19"/>
  <c r="A4" i="19"/>
  <c r="A5" i="19"/>
  <c r="A6" i="19"/>
  <c r="A7" i="19"/>
  <c r="A8" i="19"/>
  <c r="A9" i="19"/>
  <c r="A10" i="19"/>
  <c r="A11" i="19"/>
  <c r="A2" i="19"/>
  <c r="D6" i="13" l="1"/>
  <c r="A4" i="25" l="1"/>
  <c r="A3" i="25"/>
  <c r="O2" i="25"/>
  <c r="A2" i="25"/>
  <c r="P75" i="4" l="1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74" i="4"/>
  <c r="P73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D46" i="10" l="1"/>
  <c r="A46" i="10"/>
  <c r="D45" i="10"/>
  <c r="A45" i="10"/>
  <c r="D44" i="10"/>
  <c r="A44" i="10"/>
  <c r="D43" i="10"/>
  <c r="A43" i="10"/>
  <c r="D42" i="10"/>
  <c r="A42" i="10"/>
  <c r="D41" i="10"/>
  <c r="A41" i="10"/>
  <c r="D40" i="10"/>
  <c r="A40" i="10"/>
  <c r="D39" i="10"/>
  <c r="A39" i="10"/>
  <c r="D38" i="10"/>
  <c r="A38" i="10"/>
  <c r="D37" i="10"/>
  <c r="A37" i="10"/>
  <c r="D36" i="10"/>
  <c r="A36" i="10"/>
  <c r="D35" i="10"/>
  <c r="A35" i="10"/>
  <c r="D34" i="10"/>
  <c r="A34" i="10"/>
  <c r="D33" i="10"/>
  <c r="A33" i="10"/>
  <c r="D32" i="10"/>
  <c r="A32" i="10"/>
  <c r="D31" i="10"/>
  <c r="A31" i="10"/>
  <c r="D30" i="10"/>
  <c r="A30" i="10"/>
  <c r="D29" i="10"/>
  <c r="A29" i="10"/>
  <c r="D28" i="10"/>
  <c r="A28" i="10"/>
  <c r="D27" i="10"/>
  <c r="A27" i="10"/>
  <c r="D26" i="10"/>
  <c r="A26" i="10"/>
  <c r="D25" i="10"/>
  <c r="A25" i="10"/>
  <c r="D24" i="10"/>
  <c r="A24" i="10"/>
  <c r="D23" i="10"/>
  <c r="A23" i="10"/>
  <c r="D22" i="10"/>
  <c r="A22" i="10"/>
  <c r="D21" i="10"/>
  <c r="A21" i="10"/>
  <c r="D20" i="10"/>
  <c r="A20" i="10"/>
  <c r="D19" i="10"/>
  <c r="A19" i="10"/>
  <c r="D18" i="10"/>
  <c r="A18" i="10"/>
  <c r="D17" i="10"/>
  <c r="A17" i="10"/>
  <c r="D16" i="10"/>
  <c r="A16" i="10"/>
  <c r="D15" i="10"/>
  <c r="A15" i="10"/>
  <c r="D14" i="10"/>
  <c r="A14" i="10"/>
  <c r="D13" i="10"/>
  <c r="A13" i="10"/>
  <c r="D12" i="10"/>
  <c r="A12" i="10"/>
  <c r="D11" i="10"/>
  <c r="A11" i="10"/>
  <c r="D10" i="10"/>
  <c r="A10" i="10"/>
  <c r="D9" i="10"/>
  <c r="A9" i="10"/>
  <c r="D8" i="10"/>
  <c r="A8" i="10"/>
  <c r="D7" i="10"/>
  <c r="A7" i="10"/>
  <c r="D6" i="10"/>
  <c r="A6" i="10"/>
  <c r="D5" i="10"/>
  <c r="A5" i="10"/>
  <c r="D4" i="10"/>
  <c r="A4" i="10"/>
  <c r="D3" i="10"/>
  <c r="A3" i="10"/>
  <c r="D2" i="10"/>
  <c r="A2" i="10"/>
  <c r="A16" i="9"/>
  <c r="A15" i="9"/>
  <c r="A14" i="9"/>
  <c r="A13" i="9"/>
  <c r="A12" i="9"/>
  <c r="A9" i="9"/>
  <c r="A8" i="9"/>
  <c r="A7" i="9"/>
  <c r="A6" i="9"/>
  <c r="A5" i="9"/>
  <c r="A3" i="9"/>
  <c r="A2" i="9"/>
  <c r="A11" i="9"/>
  <c r="A10" i="9"/>
  <c r="A4" i="9"/>
  <c r="A17" i="7"/>
  <c r="A16" i="7"/>
  <c r="A15" i="7"/>
  <c r="A14" i="7"/>
  <c r="A11" i="7"/>
  <c r="A10" i="7"/>
  <c r="A9" i="7"/>
  <c r="A8" i="7"/>
  <c r="A7" i="7"/>
  <c r="A6" i="7"/>
  <c r="P13" i="15"/>
  <c r="A13" i="15"/>
  <c r="P12" i="15"/>
  <c r="A12" i="15"/>
  <c r="P11" i="15"/>
  <c r="A11" i="15"/>
  <c r="P10" i="15"/>
  <c r="A10" i="15"/>
  <c r="P9" i="15"/>
  <c r="A9" i="15"/>
  <c r="P8" i="15"/>
  <c r="A8" i="15"/>
  <c r="P7" i="15"/>
  <c r="A7" i="15"/>
  <c r="P6" i="15"/>
  <c r="A6" i="15"/>
  <c r="P5" i="15"/>
  <c r="A5" i="15"/>
  <c r="P4" i="15"/>
  <c r="A4" i="15"/>
  <c r="P3" i="15"/>
  <c r="A3" i="15"/>
  <c r="P2" i="15"/>
  <c r="A2" i="15"/>
  <c r="P17" i="14"/>
  <c r="P24" i="14"/>
  <c r="A24" i="14"/>
  <c r="P23" i="14"/>
  <c r="D23" i="14"/>
  <c r="A23" i="14"/>
  <c r="P22" i="14"/>
  <c r="D22" i="14"/>
  <c r="A22" i="14"/>
  <c r="P21" i="14"/>
  <c r="D21" i="14"/>
  <c r="A21" i="14"/>
  <c r="P20" i="14"/>
  <c r="D20" i="14"/>
  <c r="A20" i="14"/>
  <c r="P19" i="14"/>
  <c r="A19" i="14"/>
  <c r="P18" i="14"/>
  <c r="D18" i="14"/>
  <c r="A18" i="14"/>
  <c r="D17" i="14"/>
  <c r="A17" i="14"/>
  <c r="P16" i="14"/>
  <c r="D16" i="14"/>
  <c r="A16" i="14"/>
  <c r="D15" i="14"/>
  <c r="A15" i="14"/>
  <c r="P14" i="14"/>
  <c r="D14" i="14"/>
  <c r="A14" i="14"/>
  <c r="P13" i="14"/>
  <c r="D13" i="14"/>
  <c r="A13" i="14"/>
  <c r="P12" i="14"/>
  <c r="D12" i="14"/>
  <c r="A12" i="14"/>
  <c r="D11" i="14"/>
  <c r="A11" i="14"/>
  <c r="P10" i="14"/>
  <c r="D10" i="14"/>
  <c r="A10" i="14"/>
  <c r="P9" i="14"/>
  <c r="D9" i="14"/>
  <c r="A9" i="14"/>
  <c r="P8" i="14"/>
  <c r="D8" i="14"/>
  <c r="A8" i="14"/>
  <c r="P7" i="14"/>
  <c r="D7" i="14"/>
  <c r="A7" i="14"/>
  <c r="P6" i="14"/>
  <c r="D6" i="14"/>
  <c r="A6" i="14"/>
  <c r="P5" i="14"/>
  <c r="D5" i="14"/>
  <c r="A5" i="14"/>
  <c r="P4" i="14"/>
  <c r="D4" i="14"/>
  <c r="A4" i="14"/>
  <c r="P3" i="14"/>
  <c r="D3" i="14"/>
  <c r="A3" i="14"/>
  <c r="D2" i="14"/>
  <c r="A2" i="14"/>
  <c r="D19" i="14" l="1"/>
  <c r="D24" i="14"/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D3" i="21" l="1"/>
  <c r="D2" i="21" l="1"/>
  <c r="D4" i="21"/>
  <c r="D5" i="21"/>
  <c r="D6" i="21"/>
  <c r="D7" i="21"/>
  <c r="D8" i="21"/>
  <c r="D9" i="21"/>
  <c r="D10" i="21"/>
  <c r="D11" i="21"/>
  <c r="O2" i="21"/>
  <c r="O3" i="21"/>
  <c r="O4" i="21"/>
  <c r="O5" i="21"/>
  <c r="O6" i="21"/>
  <c r="O7" i="21"/>
  <c r="O8" i="21"/>
  <c r="O9" i="21"/>
  <c r="O10" i="21"/>
  <c r="O11" i="21"/>
  <c r="A2" i="21"/>
  <c r="A3" i="21"/>
  <c r="A4" i="21"/>
  <c r="A5" i="21"/>
  <c r="A6" i="21"/>
  <c r="A7" i="21"/>
  <c r="A8" i="21"/>
  <c r="A9" i="21"/>
  <c r="A10" i="21"/>
  <c r="A11" i="21"/>
  <c r="N2" i="18" l="1"/>
  <c r="D3" i="18"/>
  <c r="D4" i="18"/>
  <c r="D5" i="18"/>
  <c r="D6" i="18"/>
  <c r="D7" i="18"/>
  <c r="D8" i="18"/>
  <c r="D9" i="18"/>
  <c r="D10" i="18"/>
  <c r="D11" i="18"/>
  <c r="A3" i="18"/>
  <c r="A4" i="18"/>
  <c r="A5" i="18"/>
  <c r="A6" i="18"/>
  <c r="A7" i="18"/>
  <c r="A8" i="18"/>
  <c r="A9" i="18"/>
  <c r="A10" i="18"/>
  <c r="A11" i="18"/>
  <c r="A2" i="18"/>
  <c r="D2" i="18"/>
  <c r="N2" i="13" l="1"/>
  <c r="N3" i="13"/>
  <c r="N4" i="13"/>
  <c r="N5" i="13"/>
  <c r="A2" i="13"/>
  <c r="D2" i="13" l="1"/>
  <c r="D4" i="13"/>
  <c r="D3" i="13"/>
  <c r="D5" i="13"/>
  <c r="O4" i="5" l="1"/>
  <c r="O2" i="5" l="1"/>
  <c r="O3" i="5"/>
  <c r="A2" i="5"/>
  <c r="A3" i="5"/>
  <c r="A4" i="5"/>
  <c r="A17" i="6" l="1"/>
  <c r="N17" i="6"/>
  <c r="A15" i="6"/>
  <c r="A16" i="6"/>
  <c r="N15" i="6"/>
  <c r="N16" i="6"/>
  <c r="A14" i="6"/>
  <c r="N14" i="6"/>
  <c r="A12" i="6"/>
  <c r="A13" i="6"/>
  <c r="N12" i="6"/>
  <c r="N13" i="6"/>
  <c r="A8" i="6"/>
  <c r="A9" i="6"/>
  <c r="A10" i="6"/>
  <c r="A11" i="6"/>
  <c r="N8" i="6"/>
  <c r="N9" i="6"/>
  <c r="N10" i="6"/>
  <c r="N11" i="6"/>
  <c r="N2" i="6"/>
  <c r="N3" i="6"/>
  <c r="N4" i="6"/>
  <c r="N5" i="6"/>
  <c r="N6" i="6"/>
  <c r="N7" i="6"/>
  <c r="A2" i="6"/>
  <c r="A3" i="6"/>
  <c r="A4" i="6"/>
  <c r="A5" i="6"/>
  <c r="A6" i="6"/>
  <c r="A7" i="6"/>
  <c r="A2" i="3" l="1"/>
  <c r="A3" i="3"/>
</calcChain>
</file>

<file path=xl/sharedStrings.xml><?xml version="1.0" encoding="utf-8"?>
<sst xmlns="http://schemas.openxmlformats.org/spreadsheetml/2006/main" count="8936" uniqueCount="1760">
  <si>
    <t>ID</t>
  </si>
  <si>
    <t>Manufacturer</t>
  </si>
  <si>
    <t>Part Number</t>
  </si>
  <si>
    <t>Library Ref</t>
  </si>
  <si>
    <t>Footprint Ref</t>
  </si>
  <si>
    <t>Process</t>
  </si>
  <si>
    <t>Rating</t>
  </si>
  <si>
    <t>Category</t>
  </si>
  <si>
    <t>Description</t>
  </si>
  <si>
    <t>Stackpole</t>
  </si>
  <si>
    <t>SMD</t>
  </si>
  <si>
    <t>AECQ</t>
  </si>
  <si>
    <t>RES-0805</t>
  </si>
  <si>
    <t>1%</t>
  </si>
  <si>
    <t>BIN</t>
  </si>
  <si>
    <t>Type</t>
  </si>
  <si>
    <t>Output Type</t>
  </si>
  <si>
    <t>Pin Count</t>
  </si>
  <si>
    <t>Footprint</t>
  </si>
  <si>
    <t>RES-0402</t>
  </si>
  <si>
    <t>RES-0603</t>
  </si>
  <si>
    <t>RES-1206</t>
  </si>
  <si>
    <t>RES-1210</t>
  </si>
  <si>
    <t>RES-1812</t>
  </si>
  <si>
    <t>RES-2010</t>
  </si>
  <si>
    <t>RES-2512</t>
  </si>
  <si>
    <t>Bourns</t>
  </si>
  <si>
    <t>Eaton</t>
  </si>
  <si>
    <t>KOA</t>
  </si>
  <si>
    <t>Littelfuse</t>
  </si>
  <si>
    <t>Panasonic</t>
  </si>
  <si>
    <t>Rohm</t>
  </si>
  <si>
    <t>Samsung</t>
  </si>
  <si>
    <t>Viking</t>
  </si>
  <si>
    <t>Vishay</t>
  </si>
  <si>
    <t>Würth</t>
  </si>
  <si>
    <t>Yageo</t>
  </si>
  <si>
    <t>Kyocera</t>
  </si>
  <si>
    <t>Resistors</t>
  </si>
  <si>
    <t>Capacitors</t>
  </si>
  <si>
    <t>All Components</t>
  </si>
  <si>
    <t>Process List</t>
  </si>
  <si>
    <t>Rating List</t>
  </si>
  <si>
    <t>THT</t>
  </si>
  <si>
    <t>ResistorSymbol</t>
  </si>
  <si>
    <t>CapacitorSymbol</t>
  </si>
  <si>
    <t>CAP-0603</t>
  </si>
  <si>
    <t>CapacitorPolSymbol</t>
  </si>
  <si>
    <t>CAP-0402</t>
  </si>
  <si>
    <t>CAP-0805</t>
  </si>
  <si>
    <t>CAP-1206</t>
  </si>
  <si>
    <t>50V</t>
  </si>
  <si>
    <t>CGA5L1X7R1H106K160AC</t>
  </si>
  <si>
    <t>TDK</t>
  </si>
  <si>
    <t>X7R</t>
  </si>
  <si>
    <t>10%</t>
  </si>
  <si>
    <t>Murata</t>
  </si>
  <si>
    <t>100V</t>
  </si>
  <si>
    <t>10nF</t>
  </si>
  <si>
    <t>100nF</t>
  </si>
  <si>
    <t>08055C472K4T4A</t>
  </si>
  <si>
    <t>4.7nF</t>
  </si>
  <si>
    <t>CAP-1210</t>
  </si>
  <si>
    <t>Susumu</t>
  </si>
  <si>
    <t>TE Connectivity</t>
  </si>
  <si>
    <t>Ohmite</t>
  </si>
  <si>
    <t>0.5W</t>
  </si>
  <si>
    <t>FEKA NO</t>
  </si>
  <si>
    <t>Diodes</t>
  </si>
  <si>
    <t>DO-214AA(SMB)</t>
  </si>
  <si>
    <t>SOD-123W</t>
  </si>
  <si>
    <t>SOT23-3</t>
  </si>
  <si>
    <t>Diode_Schottky_Symbol</t>
  </si>
  <si>
    <t>Diode_TVS_Bidirectional_Symbol</t>
  </si>
  <si>
    <t>Diode_TVS_Unidirectional_Symbol</t>
  </si>
  <si>
    <t>Diode_Zener_Common_Anode_Symbol</t>
  </si>
  <si>
    <t>Diode_Zener_Single_Symbol</t>
  </si>
  <si>
    <t>AC1206FR-7W100RL</t>
  </si>
  <si>
    <t>4E12000001</t>
  </si>
  <si>
    <t>HP06W2F1000T5E</t>
  </si>
  <si>
    <t>BLM31PG121SZ1L</t>
  </si>
  <si>
    <t>Inductors</t>
  </si>
  <si>
    <t>Ferrite Beads</t>
  </si>
  <si>
    <t>FB-0402</t>
  </si>
  <si>
    <t>FB-0603</t>
  </si>
  <si>
    <t>FB-0805</t>
  </si>
  <si>
    <t>FB-1206</t>
  </si>
  <si>
    <t>FB-1210</t>
  </si>
  <si>
    <t>FerriteBeadSymbol</t>
  </si>
  <si>
    <t>4E02000001</t>
  </si>
  <si>
    <t>4E02000003</t>
  </si>
  <si>
    <t>4E02000004</t>
  </si>
  <si>
    <t>4E02000005</t>
  </si>
  <si>
    <t>4E02000008</t>
  </si>
  <si>
    <t>BLM31KN121SH1L</t>
  </si>
  <si>
    <t>BLM18KG601BH1D</t>
  </si>
  <si>
    <t>BLM18KG102SH1D</t>
  </si>
  <si>
    <t>BLM31AJ601SH1L</t>
  </si>
  <si>
    <t>BLM31AJ601SN1L</t>
  </si>
  <si>
    <t>FB-1206(4-Array)</t>
  </si>
  <si>
    <t>FerriteBead(4-Array)Symbol</t>
  </si>
  <si>
    <t>BLA31AG601SN4D</t>
  </si>
  <si>
    <t>BLM21AG102SH1D</t>
  </si>
  <si>
    <t>BLM21BD102SN1D</t>
  </si>
  <si>
    <t>4E02000012</t>
  </si>
  <si>
    <t>BLM21BD102SZ1D</t>
  </si>
  <si>
    <t>BLM18AG102BH1D</t>
  </si>
  <si>
    <t>4E02000023</t>
  </si>
  <si>
    <t>BLM31KN121BH1L</t>
  </si>
  <si>
    <t>4E02000033</t>
  </si>
  <si>
    <t>MFBM1V2012-601-R</t>
  </si>
  <si>
    <t>4E02000037</t>
  </si>
  <si>
    <t>4E02000020</t>
  </si>
  <si>
    <t>4E02000047</t>
  </si>
  <si>
    <t>NTCs</t>
  </si>
  <si>
    <t>PTCs</t>
  </si>
  <si>
    <t>LEDs</t>
  </si>
  <si>
    <t>Symbol Lists</t>
  </si>
  <si>
    <t>Footprint Lists</t>
  </si>
  <si>
    <t>Manufacturer Lists</t>
  </si>
  <si>
    <t>4E02000002</t>
  </si>
  <si>
    <t>56uH</t>
  </si>
  <si>
    <t>2.3A</t>
  </si>
  <si>
    <t>SRR1260A-560M</t>
  </si>
  <si>
    <t>IND-12.5x12.5x6(Shielded)</t>
  </si>
  <si>
    <t>20%</t>
  </si>
  <si>
    <t>InductorSymbol</t>
  </si>
  <si>
    <t>ETQP4M470KFM</t>
  </si>
  <si>
    <t>47uH</t>
  </si>
  <si>
    <t>2.9A</t>
  </si>
  <si>
    <t>IND-7.4x7x4.8(Shielded)</t>
  </si>
  <si>
    <t>4E02000009</t>
  </si>
  <si>
    <t>Pulse</t>
  </si>
  <si>
    <t>PA4341.472NLT</t>
  </si>
  <si>
    <t>4E02000011</t>
  </si>
  <si>
    <t>4.7uH</t>
  </si>
  <si>
    <t>5.5A</t>
  </si>
  <si>
    <t>3d rengi değiştirilecek</t>
  </si>
  <si>
    <t>IND-7.3x6.6x2.8(Shielded)</t>
  </si>
  <si>
    <t>3.5A</t>
  </si>
  <si>
    <t>6A</t>
  </si>
  <si>
    <t>1A</t>
  </si>
  <si>
    <t>0.2A</t>
  </si>
  <si>
    <t>0.1A</t>
  </si>
  <si>
    <t>0.6A</t>
  </si>
  <si>
    <t>0.25A</t>
  </si>
  <si>
    <t>0.45A</t>
  </si>
  <si>
    <t>4A</t>
  </si>
  <si>
    <t>2A</t>
  </si>
  <si>
    <t>2.5A</t>
  </si>
  <si>
    <t>20mOhm</t>
  </si>
  <si>
    <t>9mOhm</t>
  </si>
  <si>
    <t>150mOhm</t>
  </si>
  <si>
    <t>200mOhm</t>
  </si>
  <si>
    <t>900mOhm</t>
  </si>
  <si>
    <t>350mOhm</t>
  </si>
  <si>
    <t>270mOhm</t>
  </si>
  <si>
    <t>400mOhm</t>
  </si>
  <si>
    <t>500mOhm</t>
  </si>
  <si>
    <t>100mOhm</t>
  </si>
  <si>
    <t>35mOhm</t>
  </si>
  <si>
    <t>600mOhm</t>
  </si>
  <si>
    <t>300mOhm</t>
  </si>
  <si>
    <t>120Ohm@100MHz</t>
  </si>
  <si>
    <t>600Ohm@100MHz</t>
  </si>
  <si>
    <t>1KOhm@100MHz</t>
  </si>
  <si>
    <t>1.5KOhm@100MHz</t>
  </si>
  <si>
    <t>Power(W)</t>
  </si>
  <si>
    <t>60V</t>
  </si>
  <si>
    <t>4E42000020</t>
  </si>
  <si>
    <t>Nexperia</t>
  </si>
  <si>
    <t>LED_Symbol</t>
  </si>
  <si>
    <t>PMEG6010ER-Q</t>
  </si>
  <si>
    <t>PMEG6010ELR-Q</t>
  </si>
  <si>
    <t>4E42000050</t>
  </si>
  <si>
    <t>Reverse Standoff Voltage(V)</t>
  </si>
  <si>
    <t>Peak Pulse Power(W)</t>
  </si>
  <si>
    <t>Polarization</t>
  </si>
  <si>
    <t>Bi-Polar</t>
  </si>
  <si>
    <t>PTVS54VS1UR-Q</t>
  </si>
  <si>
    <t>400W</t>
  </si>
  <si>
    <t>54V</t>
  </si>
  <si>
    <t>4.6A</t>
  </si>
  <si>
    <t>4E42000048</t>
  </si>
  <si>
    <t>BZX84C4V7-E3-08</t>
  </si>
  <si>
    <t>BZX84C4V7Q-7-F</t>
  </si>
  <si>
    <t>4E42000043</t>
  </si>
  <si>
    <t>PMEG6010ELR</t>
  </si>
  <si>
    <t>4E42000001</t>
  </si>
  <si>
    <t>4E42000003</t>
  </si>
  <si>
    <t>600V</t>
  </si>
  <si>
    <t>400V</t>
  </si>
  <si>
    <t>1.3V</t>
  </si>
  <si>
    <t>1.1V</t>
  </si>
  <si>
    <t>1.5A</t>
  </si>
  <si>
    <t>Diode_3_Symbol</t>
  </si>
  <si>
    <t>Diode_CanTVS_Symbol</t>
  </si>
  <si>
    <t>Diode_Schottky_Common_Anode_Symbol_3pin_1</t>
  </si>
  <si>
    <t>Diode_Symbol</t>
  </si>
  <si>
    <t>Diode_Zener_Common_Anode_Symbol_3pin</t>
  </si>
  <si>
    <t>Diode_Zener_Single_2pin</t>
  </si>
  <si>
    <t>Diode_Zener_Single_Symbol_3pin</t>
  </si>
  <si>
    <t>DFN1110D-3 (SOT8015)</t>
  </si>
  <si>
    <t>DO-214AB(SMC)</t>
  </si>
  <si>
    <t>DO-214AC(SMA)</t>
  </si>
  <si>
    <t>DO-219AB(SMF)</t>
  </si>
  <si>
    <t>PMDU(Cathode-Left)</t>
  </si>
  <si>
    <t>PowerDI5</t>
  </si>
  <si>
    <t>PowerDI123</t>
  </si>
  <si>
    <t>SMA-FL</t>
  </si>
  <si>
    <t>SOD523</t>
  </si>
  <si>
    <t>SOD-123</t>
  </si>
  <si>
    <t>SOD-123F</t>
  </si>
  <si>
    <t>SOD-123FL</t>
  </si>
  <si>
    <t>SOD-323</t>
  </si>
  <si>
    <t>SOD-323F</t>
  </si>
  <si>
    <t>SOD-323F(Cathode-Left)</t>
  </si>
  <si>
    <t>SOD-523 (Cathode Top)</t>
  </si>
  <si>
    <t>SOT-363</t>
  </si>
  <si>
    <t>TO-277</t>
  </si>
  <si>
    <t>TSOP6 (SOT457)</t>
  </si>
  <si>
    <t>DO-214AC(SMA) (CathodeLeft)</t>
  </si>
  <si>
    <t>Onsemi</t>
  </si>
  <si>
    <t>NXP</t>
  </si>
  <si>
    <t>STMicroelectronics</t>
  </si>
  <si>
    <t>Bourns Inc.</t>
  </si>
  <si>
    <t>RS2JHE3</t>
  </si>
  <si>
    <t>DO-214AA(SMB)  (CathodeLeft)</t>
  </si>
  <si>
    <t>Diode_Symbol_CathodeLeft</t>
  </si>
  <si>
    <t>4E42000002</t>
  </si>
  <si>
    <t>39V</t>
  </si>
  <si>
    <t>600W</t>
  </si>
  <si>
    <t>P6SMB39CA-Q</t>
  </si>
  <si>
    <t>SM6T39CAHE3</t>
  </si>
  <si>
    <t>11.3A</t>
  </si>
  <si>
    <t>11.1A</t>
  </si>
  <si>
    <t>SM6T39CAY</t>
  </si>
  <si>
    <t>S1GHE3</t>
  </si>
  <si>
    <t>4E42000004</t>
  </si>
  <si>
    <t>S1J</t>
  </si>
  <si>
    <t>S1JH</t>
  </si>
  <si>
    <t>S1JHE3</t>
  </si>
  <si>
    <t>Taiwan Semiconductor</t>
  </si>
  <si>
    <t>S1GE3</t>
  </si>
  <si>
    <t>US1JH</t>
  </si>
  <si>
    <t>S1JHE</t>
  </si>
  <si>
    <t>SOD−323EP (CathodeLeft)</t>
  </si>
  <si>
    <t>4E42000005</t>
  </si>
  <si>
    <t>YORUM</t>
  </si>
  <si>
    <t>IPTAL- 4E42000004 KULLANILACAK</t>
  </si>
  <si>
    <t>?</t>
  </si>
  <si>
    <t>Yorum</t>
  </si>
  <si>
    <t>4E42000007</t>
  </si>
  <si>
    <t>1000V</t>
  </si>
  <si>
    <t>S1MHE3</t>
  </si>
  <si>
    <t>SM6T36CA</t>
  </si>
  <si>
    <t>12A</t>
  </si>
  <si>
    <t>36V</t>
  </si>
  <si>
    <t>4E42000008</t>
  </si>
  <si>
    <t>SMBJ36CAQ</t>
  </si>
  <si>
    <t>10.3A</t>
  </si>
  <si>
    <t>Panjit International Inc.</t>
  </si>
  <si>
    <t>BAS21-AU</t>
  </si>
  <si>
    <t>Diode_Single_Symbol_3pin</t>
  </si>
  <si>
    <t>4E42000009</t>
  </si>
  <si>
    <t>200V</t>
  </si>
  <si>
    <t>1V</t>
  </si>
  <si>
    <t>BAS21Q</t>
  </si>
  <si>
    <t>250V</t>
  </si>
  <si>
    <t>1.25V</t>
  </si>
  <si>
    <t>SBAS21LT</t>
  </si>
  <si>
    <t>4E42000010</t>
  </si>
  <si>
    <t>SM6T30CAH</t>
  </si>
  <si>
    <t xml:space="preserve">SM6T30CAY </t>
  </si>
  <si>
    <t>SM6T30CAHE3</t>
  </si>
  <si>
    <t>30V</t>
  </si>
  <si>
    <t>14.5A</t>
  </si>
  <si>
    <t>SM6T24CAHE3</t>
  </si>
  <si>
    <t>24V</t>
  </si>
  <si>
    <t>18A</t>
  </si>
  <si>
    <t>4E42000011</t>
  </si>
  <si>
    <t>SM6T24CAY</t>
  </si>
  <si>
    <t>NRVS3JB</t>
  </si>
  <si>
    <t>4E42000012</t>
  </si>
  <si>
    <t>1.15V</t>
  </si>
  <si>
    <t>3A</t>
  </si>
  <si>
    <t>S3JB</t>
  </si>
  <si>
    <t>B360A</t>
  </si>
  <si>
    <t>0.4A</t>
  </si>
  <si>
    <t>4E42000013</t>
  </si>
  <si>
    <t>NRVBAF360T3G</t>
  </si>
  <si>
    <t>4E42000014</t>
  </si>
  <si>
    <t>4E42000015</t>
  </si>
  <si>
    <t>800V</t>
  </si>
  <si>
    <t>4E42000016</t>
  </si>
  <si>
    <t>4E42000017</t>
  </si>
  <si>
    <t>Diode_Common_Cathode_Symbol_3pin</t>
  </si>
  <si>
    <t>75V</t>
  </si>
  <si>
    <t>0.125A</t>
  </si>
  <si>
    <t>85V</t>
  </si>
  <si>
    <t>0.15A</t>
  </si>
  <si>
    <t>DFN1010D-3 (SOT1215)</t>
  </si>
  <si>
    <t>Kılıf Farklı TDSte footprint yok</t>
  </si>
  <si>
    <t>BZX84C4V7-HE3_A-08</t>
  </si>
  <si>
    <t>otomotiv onaysız, Referans değiştirilmeli</t>
  </si>
  <si>
    <t>Total Channel Count</t>
  </si>
  <si>
    <t>Output Current/Channel(A)</t>
  </si>
  <si>
    <t>Linear</t>
  </si>
  <si>
    <t>180mA</t>
  </si>
  <si>
    <t>1-Ch</t>
  </si>
  <si>
    <t>PG-TSDSO-14</t>
  </si>
  <si>
    <t>TLD2142-1EP</t>
  </si>
  <si>
    <t>Transistors</t>
  </si>
  <si>
    <t>Mosfets</t>
  </si>
  <si>
    <t>DC-DC Converters</t>
  </si>
  <si>
    <t>Linear Voltage Regulators</t>
  </si>
  <si>
    <t>LED Drivers</t>
  </si>
  <si>
    <t>Infineon</t>
  </si>
  <si>
    <t>4E32000018</t>
  </si>
  <si>
    <t>TLD2142-1EP_Symbol</t>
  </si>
  <si>
    <t>SEMBOLÜ VE FOOTPRİNTİ ÇİZİLECEK</t>
  </si>
  <si>
    <t>NPN_Transistor_Symbol</t>
  </si>
  <si>
    <t>4E72000015</t>
  </si>
  <si>
    <t>4E72000025</t>
  </si>
  <si>
    <t>NPN</t>
  </si>
  <si>
    <t>65V</t>
  </si>
  <si>
    <t>6V</t>
  </si>
  <si>
    <t>SOT-23</t>
  </si>
  <si>
    <t>BC846-Q</t>
  </si>
  <si>
    <t>PDTC114YT-Q</t>
  </si>
  <si>
    <t>SMMBT3906LT1G</t>
  </si>
  <si>
    <t>4E72000016</t>
  </si>
  <si>
    <t>PNP_Transistor_Symbol</t>
  </si>
  <si>
    <t>40V</t>
  </si>
  <si>
    <t>PNP</t>
  </si>
  <si>
    <t>5V</t>
  </si>
  <si>
    <t>BAV170QA</t>
  </si>
  <si>
    <t>PN hatalı QAZ</t>
  </si>
  <si>
    <t>4E42000018</t>
  </si>
  <si>
    <t>DMN6075S</t>
  </si>
  <si>
    <t>Diode_Schottky_Symbol_CathodeLeft</t>
  </si>
  <si>
    <t>SOD-123W CathodeLeft</t>
  </si>
  <si>
    <t>PMEG6010ER</t>
  </si>
  <si>
    <t>PMEG6010ER,115</t>
  </si>
  <si>
    <t>PMEG6010ER-QX</t>
  </si>
  <si>
    <t>4E42000019</t>
  </si>
  <si>
    <t>33V</t>
  </si>
  <si>
    <t>SMBJ33CA</t>
  </si>
  <si>
    <t>13.1A</t>
  </si>
  <si>
    <t>SM6T33CAHE3</t>
  </si>
  <si>
    <t>4E42000021</t>
  </si>
  <si>
    <t>BAS16</t>
  </si>
  <si>
    <t>0.25W</t>
  </si>
  <si>
    <t>0.215A</t>
  </si>
  <si>
    <t>Osram</t>
  </si>
  <si>
    <t>Synios</t>
  </si>
  <si>
    <t>KS.DMLN31.23</t>
  </si>
  <si>
    <t>4E52000150</t>
  </si>
  <si>
    <t>KW3.CGLNM3.TK</t>
  </si>
  <si>
    <t>T6T9-6L07L0-JC</t>
  </si>
  <si>
    <t>GZHY-J3T3-68</t>
  </si>
  <si>
    <t>4E52000100</t>
  </si>
  <si>
    <t>KY.DMLN31.23</t>
  </si>
  <si>
    <t>HYJX-46-J3T3</t>
  </si>
  <si>
    <t>4E52000101</t>
  </si>
  <si>
    <t>Aynı referansta bulunan diğer alternatiflere göre farklı Vf değerine sahip.</t>
  </si>
  <si>
    <t>4E52000127</t>
  </si>
  <si>
    <t>KW.DMLN33.SG</t>
  </si>
  <si>
    <t>7J7K-8E8G-ebvF46fcbB46</t>
  </si>
  <si>
    <t>Gender</t>
  </si>
  <si>
    <t>Pitch(mm)</t>
  </si>
  <si>
    <t>Color</t>
  </si>
  <si>
    <t>4E80000022</t>
  </si>
  <si>
    <t>Molex</t>
  </si>
  <si>
    <t>Other ICs</t>
  </si>
  <si>
    <t>Connectors &amp; Pin Headers</t>
  </si>
  <si>
    <t>Terminals</t>
  </si>
  <si>
    <t>PCBs</t>
  </si>
  <si>
    <t>Male</t>
  </si>
  <si>
    <t>2mm</t>
  </si>
  <si>
    <t>Natural</t>
  </si>
  <si>
    <t>502352-0200</t>
  </si>
  <si>
    <t>4E80000095</t>
  </si>
  <si>
    <t>4E80000096</t>
  </si>
  <si>
    <t>Black</t>
  </si>
  <si>
    <t>502352-0801</t>
  </si>
  <si>
    <t>502352-0201</t>
  </si>
  <si>
    <t>BZX84J-C15,115</t>
  </si>
  <si>
    <t>BZX84J-C3V6,115</t>
  </si>
  <si>
    <t>4E42000089</t>
  </si>
  <si>
    <t>4E42000088</t>
  </si>
  <si>
    <t>BZX84J-B4V7,115</t>
  </si>
  <si>
    <t>4E42000116</t>
  </si>
  <si>
    <t>BZX84J-C5V6,115</t>
  </si>
  <si>
    <t>4E42000095</t>
  </si>
  <si>
    <t>4E42000094</t>
  </si>
  <si>
    <t>4E72000007</t>
  </si>
  <si>
    <t>BC817-40Q-13-F</t>
  </si>
  <si>
    <t>45V</t>
  </si>
  <si>
    <t>4E30000001</t>
  </si>
  <si>
    <t>E522.80</t>
  </si>
  <si>
    <t>150mA</t>
  </si>
  <si>
    <t>3-Ch</t>
  </si>
  <si>
    <t>SOIC16N-EP</t>
  </si>
  <si>
    <t>Elmos</t>
  </si>
  <si>
    <t>E522.80_Symbol</t>
  </si>
  <si>
    <t>4E42000027</t>
  </si>
  <si>
    <t>4E80000097</t>
  </si>
  <si>
    <t>560020-0821</t>
  </si>
  <si>
    <t>NTCS0805E3103JHT</t>
  </si>
  <si>
    <t>5%</t>
  </si>
  <si>
    <t>10KOhm</t>
  </si>
  <si>
    <t>100Ohm</t>
  </si>
  <si>
    <t>4E12000002</t>
  </si>
  <si>
    <t>110Ohm</t>
  </si>
  <si>
    <t>HP06W2F1100T5E</t>
  </si>
  <si>
    <t>4E12000003</t>
  </si>
  <si>
    <t>120Ohm</t>
  </si>
  <si>
    <t>HP06W2F1200T5E</t>
  </si>
  <si>
    <t>4E12000004</t>
  </si>
  <si>
    <t>130Ohm</t>
  </si>
  <si>
    <t>AC1206FR-7W130RL</t>
  </si>
  <si>
    <t>4E12000005</t>
  </si>
  <si>
    <t>150Ohm</t>
  </si>
  <si>
    <t>AC1206FR-7W150RL</t>
  </si>
  <si>
    <t>HP06W2F1500T5E</t>
  </si>
  <si>
    <t>4E12000006</t>
  </si>
  <si>
    <t>160Ohm</t>
  </si>
  <si>
    <t>AC1206FR-7W160RL</t>
  </si>
  <si>
    <t>HP06W2F1600T5E</t>
  </si>
  <si>
    <t>RMCP1206FT160R</t>
  </si>
  <si>
    <t>4E12000007</t>
  </si>
  <si>
    <t>180Ohm</t>
  </si>
  <si>
    <t>AC1206FR-07180RL</t>
  </si>
  <si>
    <t>HP06W2F1800T5E</t>
  </si>
  <si>
    <t>4E12000008</t>
  </si>
  <si>
    <t>200Ohm</t>
  </si>
  <si>
    <t>AC1206FR-07200RL</t>
  </si>
  <si>
    <t>HP06W2F2000T5E</t>
  </si>
  <si>
    <t>4E12000009</t>
  </si>
  <si>
    <t>220Ohm</t>
  </si>
  <si>
    <t>AC1206FR-07220RL</t>
  </si>
  <si>
    <t>HP06W2F2200T5E</t>
  </si>
  <si>
    <t>RCS1206220RFKEA</t>
  </si>
  <si>
    <t>4E12000010</t>
  </si>
  <si>
    <t>AC1206FR-3W12RL</t>
  </si>
  <si>
    <t>AC1206FR-0712RL</t>
  </si>
  <si>
    <t>12Ohm</t>
  </si>
  <si>
    <t>0.75W</t>
  </si>
  <si>
    <t>ESR18EZPF12R0</t>
  </si>
  <si>
    <t>RCS120612R0FKEA</t>
  </si>
  <si>
    <t>4E12000011</t>
  </si>
  <si>
    <t>15Ohm</t>
  </si>
  <si>
    <t>RCS120615R0FKEA</t>
  </si>
  <si>
    <t>4E12000012</t>
  </si>
  <si>
    <t>18Ohm</t>
  </si>
  <si>
    <t>RCS120618R0FKEA</t>
  </si>
  <si>
    <t>4E12000013</t>
  </si>
  <si>
    <t>10Ohm</t>
  </si>
  <si>
    <t>0.1W</t>
  </si>
  <si>
    <t>AC0603FR-0710RL</t>
  </si>
  <si>
    <t>4E12000014</t>
  </si>
  <si>
    <t>2KOhm</t>
  </si>
  <si>
    <t>AC0603FR-072KL</t>
  </si>
  <si>
    <t>4E12000015</t>
  </si>
  <si>
    <t>3.9KOhm</t>
  </si>
  <si>
    <t>0.125W</t>
  </si>
  <si>
    <t>AC0805FR-073K9L</t>
  </si>
  <si>
    <t>4E12000016</t>
  </si>
  <si>
    <t>33Ohm</t>
  </si>
  <si>
    <t>AC0603FR-0733RL</t>
  </si>
  <si>
    <t>CQ03SAF330JT5E</t>
  </si>
  <si>
    <t>4E12000017</t>
  </si>
  <si>
    <t>3KOhm</t>
  </si>
  <si>
    <t>AC1206FR-073KL</t>
  </si>
  <si>
    <t>4E12000018</t>
  </si>
  <si>
    <t>4.7Ohm</t>
  </si>
  <si>
    <t>AC0805FR-074R7L</t>
  </si>
  <si>
    <t>4E12000019</t>
  </si>
  <si>
    <t>430Ohm</t>
  </si>
  <si>
    <t>AC0805FR-07430RL</t>
  </si>
  <si>
    <t>4E12000020</t>
  </si>
  <si>
    <t>8.2KOhm</t>
  </si>
  <si>
    <t>AC0805FR-078K2L</t>
  </si>
  <si>
    <t>4E12000021</t>
  </si>
  <si>
    <t>AC0805FR-0710KL</t>
  </si>
  <si>
    <t>CRCW080510K0FKEA</t>
  </si>
  <si>
    <t>CRCW080510K0JNEC</t>
  </si>
  <si>
    <t>CQ05S8F1002T5E</t>
  </si>
  <si>
    <t>AC0805JR-0710KL</t>
  </si>
  <si>
    <t>4E12000022</t>
  </si>
  <si>
    <t>AC0603FR-0710KL</t>
  </si>
  <si>
    <t>AC0603FR-1310KL</t>
  </si>
  <si>
    <t>CRCW060310K0FKEA</t>
  </si>
  <si>
    <t>RMCF0603FT10K0</t>
  </si>
  <si>
    <t>CQ03SAF1002T5E</t>
  </si>
  <si>
    <t/>
  </si>
  <si>
    <t>MEA10K3CG1421</t>
  </si>
  <si>
    <t>4E12000023</t>
  </si>
  <si>
    <t>22KOhm</t>
  </si>
  <si>
    <t>AC0603FR-0722KL</t>
  </si>
  <si>
    <t>4E12000024</t>
  </si>
  <si>
    <t>AC1206FR-07100RL</t>
  </si>
  <si>
    <t>CRCW1206100RFKEAHP</t>
  </si>
  <si>
    <t>4E12000025</t>
  </si>
  <si>
    <t>20KOhm</t>
  </si>
  <si>
    <t>AC0603FR-0720KL</t>
  </si>
  <si>
    <t>CQ03SAF2002T5E</t>
  </si>
  <si>
    <t>CRCW060320K0FKEA</t>
  </si>
  <si>
    <t>4E12000026</t>
  </si>
  <si>
    <t>1KOhm</t>
  </si>
  <si>
    <t>AC0603FR-071KL</t>
  </si>
  <si>
    <t>CQ03SAF1001T5E</t>
  </si>
  <si>
    <t>4E12000027</t>
  </si>
  <si>
    <t>0Ohm</t>
  </si>
  <si>
    <t>AC0805JR-070RL</t>
  </si>
  <si>
    <t>Jumper</t>
  </si>
  <si>
    <t>CRCW08050000Z0EA</t>
  </si>
  <si>
    <t>CQ05S8J0000T5E</t>
  </si>
  <si>
    <t>CRCW08050000Z0EAHP</t>
  </si>
  <si>
    <t>4E12000028</t>
  </si>
  <si>
    <t>100KOhm</t>
  </si>
  <si>
    <t>AC0603FR-07100KL</t>
  </si>
  <si>
    <t>CRCW0603100KFKEA</t>
  </si>
  <si>
    <t>CQ03SAF1003T5E</t>
  </si>
  <si>
    <t>4E12000029</t>
  </si>
  <si>
    <t>AC1206FR-07130RL</t>
  </si>
  <si>
    <t>4E12000030</t>
  </si>
  <si>
    <t>AC1206FR-07160RL</t>
  </si>
  <si>
    <t>4E12000031</t>
  </si>
  <si>
    <t>EPS197181</t>
  </si>
  <si>
    <t>4E12000032</t>
  </si>
  <si>
    <t>EPS197201</t>
  </si>
  <si>
    <t>4E12000033</t>
  </si>
  <si>
    <t>EPS196221</t>
  </si>
  <si>
    <t>EPS198223</t>
  </si>
  <si>
    <t>4E12000034</t>
  </si>
  <si>
    <t>240Ohm</t>
  </si>
  <si>
    <t>AC1206FR-07240RL</t>
  </si>
  <si>
    <t>CRCW1206240RFKEA</t>
  </si>
  <si>
    <t>EPS197241</t>
  </si>
  <si>
    <t>4E12000036</t>
  </si>
  <si>
    <t>AC1206JR-072KL</t>
  </si>
  <si>
    <t>RMCF1206JT2K00</t>
  </si>
  <si>
    <t>CQ06S4J0202T5E</t>
  </si>
  <si>
    <t>4E12000038</t>
  </si>
  <si>
    <t>CQ06S4F1002T5E</t>
  </si>
  <si>
    <t>CQ06S4J0103T5E</t>
  </si>
  <si>
    <t>RK73H2BTTD1002F</t>
  </si>
  <si>
    <t>AC1206FR-0710KL</t>
  </si>
  <si>
    <t>4E12000039</t>
  </si>
  <si>
    <t>383Ohm</t>
  </si>
  <si>
    <t>AC1206FR-07383RL</t>
  </si>
  <si>
    <t>CQ06W4F3830T5E</t>
  </si>
  <si>
    <t>4E12000040</t>
  </si>
  <si>
    <t>390Ohm</t>
  </si>
  <si>
    <t>AC1206FR-07390RL</t>
  </si>
  <si>
    <t>CQ06W4F3900T5E</t>
  </si>
  <si>
    <t>4E12000041</t>
  </si>
  <si>
    <t>AC1206FR-07430RL</t>
  </si>
  <si>
    <t>CQ06W4F4300T5E</t>
  </si>
  <si>
    <t>4E12000042</t>
  </si>
  <si>
    <t>442Ohm</t>
  </si>
  <si>
    <t>AC1206FR-07442RL</t>
  </si>
  <si>
    <t>4E12000043</t>
  </si>
  <si>
    <t>499Ohm</t>
  </si>
  <si>
    <t>AC1206FR-07499RL</t>
  </si>
  <si>
    <t>CQ06W4F4990T5E</t>
  </si>
  <si>
    <t>4E12000044</t>
  </si>
  <si>
    <t>CRCW1206499RFKEA</t>
  </si>
  <si>
    <t>4E12000045</t>
  </si>
  <si>
    <t>560Ohm</t>
  </si>
  <si>
    <t>AC1206FR-07560RL</t>
  </si>
  <si>
    <t>CQ06W4F5600T5E</t>
  </si>
  <si>
    <t>4E12000046</t>
  </si>
  <si>
    <t>580Ohm</t>
  </si>
  <si>
    <t>AC1206FR-07580RL</t>
  </si>
  <si>
    <t>590Ohm</t>
  </si>
  <si>
    <t>AC1206FR-07590RL</t>
  </si>
  <si>
    <t>576Ohm</t>
  </si>
  <si>
    <t>AC1206FR-07576R</t>
  </si>
  <si>
    <t>CQ06W4F5900T5E</t>
  </si>
  <si>
    <t>4E12000047</t>
  </si>
  <si>
    <t>649Ohm</t>
  </si>
  <si>
    <t>AC1206FR-07649RL</t>
  </si>
  <si>
    <t>CQ06W4F6490T5E</t>
  </si>
  <si>
    <t>4E12000048</t>
  </si>
  <si>
    <t>665Ohm</t>
  </si>
  <si>
    <t>AC1206FR-07665RL</t>
  </si>
  <si>
    <t>CQ06W4F6650T5E</t>
  </si>
  <si>
    <t>4E12000049</t>
  </si>
  <si>
    <t>AC1206FR-07845RL</t>
  </si>
  <si>
    <t>CQ06W4F8450T5E</t>
  </si>
  <si>
    <t>4E12000167</t>
  </si>
  <si>
    <t>ERJ-6ENF1002V</t>
  </si>
  <si>
    <t>4E12000192</t>
  </si>
  <si>
    <t>RK73H1JTTD1003F</t>
  </si>
  <si>
    <t>-CRCW0603100KFKEA-</t>
  </si>
  <si>
    <t>4E12000305</t>
  </si>
  <si>
    <t>3.6KOhm</t>
  </si>
  <si>
    <t>CR-05JA7---3K6</t>
  </si>
  <si>
    <t>RMCF0805JT3K60</t>
  </si>
  <si>
    <t>RMCF0805JG3K60</t>
  </si>
  <si>
    <t>CRCW08053K60JNEB</t>
  </si>
  <si>
    <t>CRCW08053K60FKEA</t>
  </si>
  <si>
    <t>4E12000290</t>
  </si>
  <si>
    <t>4.53KOhm</t>
  </si>
  <si>
    <t>RMCF0805FT4K53</t>
  </si>
  <si>
    <t>4E12000291</t>
  </si>
  <si>
    <t>38.3KOhm</t>
  </si>
  <si>
    <t>RMCF0805FT38K3</t>
  </si>
  <si>
    <t>4E12000238</t>
  </si>
  <si>
    <t>AC0805FR-0722KL</t>
  </si>
  <si>
    <t>4E12000239</t>
  </si>
  <si>
    <t>47KOhm</t>
  </si>
  <si>
    <t>AC0805FR-0747KL</t>
  </si>
  <si>
    <t>4E12000414</t>
  </si>
  <si>
    <t>330KOhm</t>
  </si>
  <si>
    <t>CQ05S8F3303T5E</t>
  </si>
  <si>
    <t>AC0805FR-07330KL</t>
  </si>
  <si>
    <t>4E12000163</t>
  </si>
  <si>
    <t>AC0805FR-07100KL</t>
  </si>
  <si>
    <t>ERJ-6ENF1003V</t>
  </si>
  <si>
    <t>AC0805FR-13100KL</t>
  </si>
  <si>
    <t>CQ05S8F1003T5E</t>
  </si>
  <si>
    <t>4E12000304</t>
  </si>
  <si>
    <t>ERJ-6GEYJ202V</t>
  </si>
  <si>
    <t>RMCF0805JT2K00</t>
  </si>
  <si>
    <t>4E12000293</t>
  </si>
  <si>
    <t>5.6KOhm</t>
  </si>
  <si>
    <t>RMCF0805FT5K60</t>
  </si>
  <si>
    <t>4E12000394</t>
  </si>
  <si>
    <t>6.34KOhm</t>
  </si>
  <si>
    <t>RMCF0805FT6K34</t>
  </si>
  <si>
    <t>4E12000386</t>
  </si>
  <si>
    <t>7.32KOhm</t>
  </si>
  <si>
    <t>RMCF0805FT7K32</t>
  </si>
  <si>
    <t>4E12000169</t>
  </si>
  <si>
    <t>-AC0603FR-0710KL-</t>
  </si>
  <si>
    <r>
      <t>CRCW060310K0FKE</t>
    </r>
    <r>
      <rPr>
        <sz val="11"/>
        <color rgb="FFFF0000"/>
        <rFont val="Calibri"/>
        <family val="2"/>
        <scheme val="minor"/>
      </rPr>
      <t>I</t>
    </r>
  </si>
  <si>
    <t>1.5KOhm</t>
  </si>
  <si>
    <t>CQ03WAF1501T5E</t>
  </si>
  <si>
    <t>4E12000301</t>
  </si>
  <si>
    <t>24Ohm</t>
  </si>
  <si>
    <t>SR1206FR-7W24RL</t>
  </si>
  <si>
    <t>RC1206FR-7W24RL</t>
  </si>
  <si>
    <t>0.33W</t>
  </si>
  <si>
    <t>SG73P2BTTD24R0F</t>
  </si>
  <si>
    <t>RCS120624R0FKEA</t>
  </si>
  <si>
    <t>CRCW120624R0FKEAHP</t>
  </si>
  <si>
    <t>4E12000357</t>
  </si>
  <si>
    <t>9.53KOhm</t>
  </si>
  <si>
    <t>RMCF0805FT9K53</t>
  </si>
  <si>
    <t>4E12000358</t>
  </si>
  <si>
    <t>14.3KOhm</t>
  </si>
  <si>
    <t>RMCF0805FT14K3</t>
  </si>
  <si>
    <t>4E12000364</t>
  </si>
  <si>
    <t>300Ohm</t>
  </si>
  <si>
    <t>CRCW1206300RFKEAHP</t>
  </si>
  <si>
    <t>4E12000093</t>
  </si>
  <si>
    <t>AC0603JR-070RL</t>
  </si>
  <si>
    <t>AC0603FR-070RL</t>
  </si>
  <si>
    <t>4E12000369</t>
  </si>
  <si>
    <t>12KOhm</t>
  </si>
  <si>
    <t>CRCW080512K0FKEAHP</t>
  </si>
  <si>
    <t>4E12000193</t>
  </si>
  <si>
    <t>RMCF0603FT47K0</t>
  </si>
  <si>
    <t>4E12000181</t>
  </si>
  <si>
    <t>33KOhm</t>
  </si>
  <si>
    <t>RMCF0603FT33K0</t>
  </si>
  <si>
    <t>4E12000434</t>
  </si>
  <si>
    <t>9.09KOhm</t>
  </si>
  <si>
    <t>RMCF0603FT9K09</t>
  </si>
  <si>
    <t>ERJ-3EKF9091V</t>
  </si>
  <si>
    <t>RK73H1JTTD9091F</t>
  </si>
  <si>
    <t>4E12000177</t>
  </si>
  <si>
    <t>82KOhm</t>
  </si>
  <si>
    <t>RK73G1JTTD8202F</t>
  </si>
  <si>
    <t>4E12000366</t>
  </si>
  <si>
    <t>3.3KOhm</t>
  </si>
  <si>
    <t>CRCW12063K30FKEAHP</t>
  </si>
  <si>
    <t>4E12000367</t>
  </si>
  <si>
    <t>CRCW08051K00FKEAHP</t>
  </si>
  <si>
    <t>4E12000368</t>
  </si>
  <si>
    <t>CRCW08053K30FKEAHP</t>
  </si>
  <si>
    <t>4E12000370</t>
  </si>
  <si>
    <t>RCS080533K0FKEA</t>
  </si>
  <si>
    <t>4E12000053</t>
  </si>
  <si>
    <t>4E12000374</t>
  </si>
  <si>
    <t>4.7KOhm</t>
  </si>
  <si>
    <t>CRCW08054K70FKEAHP</t>
  </si>
  <si>
    <t>4E12000371</t>
  </si>
  <si>
    <t>68KOhm</t>
  </si>
  <si>
    <t>CRCW080568K0FKEAHP</t>
  </si>
  <si>
    <t>4E12000062</t>
  </si>
  <si>
    <t>AC0603FR-0733KL</t>
  </si>
  <si>
    <t>4E12000261</t>
  </si>
  <si>
    <t>330Ohm</t>
  </si>
  <si>
    <t>AC0603FR-07330RL</t>
  </si>
  <si>
    <t>4E12000372</t>
  </si>
  <si>
    <t>470Ohm</t>
  </si>
  <si>
    <t>AC0603FR-07470RL</t>
  </si>
  <si>
    <t>4E12000373</t>
  </si>
  <si>
    <t>CRCW12060000Z0EAHP</t>
  </si>
  <si>
    <t>4E12000429</t>
  </si>
  <si>
    <t>27.7KOhm</t>
  </si>
  <si>
    <t>0.5%</t>
  </si>
  <si>
    <t>RN73R1JTTD2772D25</t>
  </si>
  <si>
    <t>4E12000418</t>
  </si>
  <si>
    <t>34.4KOhm</t>
  </si>
  <si>
    <t>RN73R1JTTD3442D25</t>
  </si>
  <si>
    <t>4E12000419</t>
  </si>
  <si>
    <t>37.9KOhm</t>
  </si>
  <si>
    <t>RN73R1JTTD3792D25</t>
  </si>
  <si>
    <t>4E12000441</t>
  </si>
  <si>
    <t>7.68KOhm</t>
  </si>
  <si>
    <t>AC0603FR-077K68L</t>
  </si>
  <si>
    <t>4E12000442</t>
  </si>
  <si>
    <t>6.49KOhm</t>
  </si>
  <si>
    <t>RMCF0603FT6K49</t>
  </si>
  <si>
    <t>4E22000001</t>
  </si>
  <si>
    <t>4E22000002</t>
  </si>
  <si>
    <t>4E22000003</t>
  </si>
  <si>
    <t>4E22000004</t>
  </si>
  <si>
    <t>4E22000005</t>
  </si>
  <si>
    <t>4E22000006</t>
  </si>
  <si>
    <t>4E22000007</t>
  </si>
  <si>
    <t>4E22000008</t>
  </si>
  <si>
    <t>4E22000009</t>
  </si>
  <si>
    <t>4E22000010</t>
  </si>
  <si>
    <t>4E22000011</t>
  </si>
  <si>
    <t>4E22000012</t>
  </si>
  <si>
    <t>4E22000013</t>
  </si>
  <si>
    <t>4E22000014</t>
  </si>
  <si>
    <t>4E22000015</t>
  </si>
  <si>
    <t>4E22000016</t>
  </si>
  <si>
    <t>4E22000017</t>
  </si>
  <si>
    <t>4E22000018</t>
  </si>
  <si>
    <t>4E22000019</t>
  </si>
  <si>
    <t>4E22000020</t>
  </si>
  <si>
    <t>4E22000021</t>
  </si>
  <si>
    <t>4E22000022</t>
  </si>
  <si>
    <t>4E22000023</t>
  </si>
  <si>
    <t>4E22000024</t>
  </si>
  <si>
    <t>4E22000025</t>
  </si>
  <si>
    <t>4E22000026</t>
  </si>
  <si>
    <t>4E22000027</t>
  </si>
  <si>
    <t>4E22000028</t>
  </si>
  <si>
    <t>4E22000029</t>
  </si>
  <si>
    <t>4E22000030</t>
  </si>
  <si>
    <t>4E22000031</t>
  </si>
  <si>
    <t>4E22000032</t>
  </si>
  <si>
    <t>4E22000033</t>
  </si>
  <si>
    <t>4E22000034</t>
  </si>
  <si>
    <t>4E22000035</t>
  </si>
  <si>
    <t>4E22000037</t>
  </si>
  <si>
    <t>4E22000038</t>
  </si>
  <si>
    <t>4E22000039</t>
  </si>
  <si>
    <t>4E22000040</t>
  </si>
  <si>
    <t>4E22000041</t>
  </si>
  <si>
    <t>4E22000042</t>
  </si>
  <si>
    <t>4E22000044</t>
  </si>
  <si>
    <t>4E22000045</t>
  </si>
  <si>
    <t>4E22000046</t>
  </si>
  <si>
    <t>4E22000047</t>
  </si>
  <si>
    <t>4E22000049</t>
  </si>
  <si>
    <t>4E22000050</t>
  </si>
  <si>
    <t>4E22000051</t>
  </si>
  <si>
    <t>4E22000052</t>
  </si>
  <si>
    <t>4E22000053</t>
  </si>
  <si>
    <t>4E22000054</t>
  </si>
  <si>
    <t>4E22000055</t>
  </si>
  <si>
    <t>4E22000056</t>
  </si>
  <si>
    <t>4E22000057</t>
  </si>
  <si>
    <t>4E22000058</t>
  </si>
  <si>
    <t>4E22000059</t>
  </si>
  <si>
    <t>4E22000060</t>
  </si>
  <si>
    <t>4E22000061</t>
  </si>
  <si>
    <t>4E22000062</t>
  </si>
  <si>
    <t>4E22000063</t>
  </si>
  <si>
    <t>4E22000064</t>
  </si>
  <si>
    <t>4E22000065</t>
  </si>
  <si>
    <t>4E22000066</t>
  </si>
  <si>
    <t>4E22000067</t>
  </si>
  <si>
    <t>4E22000068</t>
  </si>
  <si>
    <t>4E22000069</t>
  </si>
  <si>
    <t>4E22000070</t>
  </si>
  <si>
    <t>4E22000071</t>
  </si>
  <si>
    <t>4E22000072</t>
  </si>
  <si>
    <t>4E22000073</t>
  </si>
  <si>
    <t>4E22000074</t>
  </si>
  <si>
    <t>4E22000075</t>
  </si>
  <si>
    <t>4E22000076</t>
  </si>
  <si>
    <t>4E22000077</t>
  </si>
  <si>
    <t>4E22000078</t>
  </si>
  <si>
    <t>4E22000079</t>
  </si>
  <si>
    <t>4E22000080</t>
  </si>
  <si>
    <t>4E22000081</t>
  </si>
  <si>
    <t>4E22000082</t>
  </si>
  <si>
    <t>4E22000083</t>
  </si>
  <si>
    <t>4E22000084</t>
  </si>
  <si>
    <t>4E22000085</t>
  </si>
  <si>
    <t>4E22000086</t>
  </si>
  <si>
    <t>4E22000087</t>
  </si>
  <si>
    <t>4E22000088</t>
  </si>
  <si>
    <t>4E22000089</t>
  </si>
  <si>
    <t>4E22000090</t>
  </si>
  <si>
    <t>4E22000091</t>
  </si>
  <si>
    <t>4E22000092</t>
  </si>
  <si>
    <t>4E22000093</t>
  </si>
  <si>
    <t>4E22000094</t>
  </si>
  <si>
    <t>4E22000095</t>
  </si>
  <si>
    <t>4E22000096</t>
  </si>
  <si>
    <t>4E22000097</t>
  </si>
  <si>
    <t>4E22000098</t>
  </si>
  <si>
    <t>4E22000099</t>
  </si>
  <si>
    <t>4E22000100</t>
  </si>
  <si>
    <t>4E22000101</t>
  </si>
  <si>
    <t>4E22000102</t>
  </si>
  <si>
    <t>4E22000103</t>
  </si>
  <si>
    <t>4E22000104</t>
  </si>
  <si>
    <t>4E22000105</t>
  </si>
  <si>
    <t>4E22000106</t>
  </si>
  <si>
    <t>4E22000107</t>
  </si>
  <si>
    <t>4E22000108</t>
  </si>
  <si>
    <t>4E22000109</t>
  </si>
  <si>
    <t>4E22000110</t>
  </si>
  <si>
    <t>4E22000112</t>
  </si>
  <si>
    <t>4E22000113</t>
  </si>
  <si>
    <t>4E22000114</t>
  </si>
  <si>
    <t>4E22000115</t>
  </si>
  <si>
    <t>4E22000116</t>
  </si>
  <si>
    <t>4E22000117</t>
  </si>
  <si>
    <t>4E22000118</t>
  </si>
  <si>
    <t>4E22000119</t>
  </si>
  <si>
    <t>4E22000120</t>
  </si>
  <si>
    <t>4E22000121</t>
  </si>
  <si>
    <t>4E22000122</t>
  </si>
  <si>
    <t>4E22000123</t>
  </si>
  <si>
    <t>4E22000124</t>
  </si>
  <si>
    <t>4E22000125</t>
  </si>
  <si>
    <t>4E22000126</t>
  </si>
  <si>
    <t>4E22000127</t>
  </si>
  <si>
    <t>4E22000130</t>
  </si>
  <si>
    <t>4E22000131</t>
  </si>
  <si>
    <t>4E22000133</t>
  </si>
  <si>
    <t>4E22000135</t>
  </si>
  <si>
    <t>4E22000136</t>
  </si>
  <si>
    <t>4E22000137</t>
  </si>
  <si>
    <t>4E22000139</t>
  </si>
  <si>
    <t>4E22000140</t>
  </si>
  <si>
    <t>4E22000141</t>
  </si>
  <si>
    <t>4E22000143</t>
  </si>
  <si>
    <t>4E22000146</t>
  </si>
  <si>
    <t>4E22000147</t>
  </si>
  <si>
    <t>4E22000148</t>
  </si>
  <si>
    <t>4E22000149</t>
  </si>
  <si>
    <t>4E22000150</t>
  </si>
  <si>
    <t>4E22000151</t>
  </si>
  <si>
    <t>4E22000154</t>
  </si>
  <si>
    <t>4E22000155</t>
  </si>
  <si>
    <t>4E22000156</t>
  </si>
  <si>
    <t>4E22000158</t>
  </si>
  <si>
    <t>4E22000159</t>
  </si>
  <si>
    <t>4E22000160</t>
  </si>
  <si>
    <t>4E22000161</t>
  </si>
  <si>
    <t>4E22000162</t>
  </si>
  <si>
    <t>4E22000163</t>
  </si>
  <si>
    <t>4E22000164</t>
  </si>
  <si>
    <t>4E22000165</t>
  </si>
  <si>
    <t>4E22000166</t>
  </si>
  <si>
    <t>4E22000167</t>
  </si>
  <si>
    <t>4E22000168</t>
  </si>
  <si>
    <t>4E22000169</t>
  </si>
  <si>
    <t>4E22000170</t>
  </si>
  <si>
    <t>4E22000171</t>
  </si>
  <si>
    <t>4E22000172</t>
  </si>
  <si>
    <t>4E22000174</t>
  </si>
  <si>
    <t>4E22000177</t>
  </si>
  <si>
    <t>4E22000178</t>
  </si>
  <si>
    <t>4E22000179</t>
  </si>
  <si>
    <t>1nF</t>
  </si>
  <si>
    <t>NFM</t>
  </si>
  <si>
    <t>OM</t>
  </si>
  <si>
    <t>ST</t>
  </si>
  <si>
    <t>1uF</t>
  </si>
  <si>
    <t>X7S</t>
  </si>
  <si>
    <t>100pF</t>
  </si>
  <si>
    <t>NPO</t>
  </si>
  <si>
    <t>C0G</t>
  </si>
  <si>
    <t>47nF</t>
  </si>
  <si>
    <t>680pF</t>
  </si>
  <si>
    <t>33pF</t>
  </si>
  <si>
    <t>2.2nF</t>
  </si>
  <si>
    <t>220pF</t>
  </si>
  <si>
    <t>470pF</t>
  </si>
  <si>
    <t>4.7uF</t>
  </si>
  <si>
    <t>10uF</t>
  </si>
  <si>
    <t>2.2uF</t>
  </si>
  <si>
    <t>22uF</t>
  </si>
  <si>
    <t>220nF</t>
  </si>
  <si>
    <t>10V</t>
  </si>
  <si>
    <t>16V</t>
  </si>
  <si>
    <t>X5R</t>
  </si>
  <si>
    <t>FT</t>
  </si>
  <si>
    <t>X8R</t>
  </si>
  <si>
    <t>68nF</t>
  </si>
  <si>
    <t>33nF</t>
  </si>
  <si>
    <t>35V</t>
  </si>
  <si>
    <t>Failure Mode</t>
  </si>
  <si>
    <t>AC0603KPX7R9BB102</t>
  </si>
  <si>
    <t>AC0603KRX7R9BB102</t>
  </si>
  <si>
    <t>C0805F104K5RACAUTO</t>
  </si>
  <si>
    <t>Kemet</t>
  </si>
  <si>
    <t>CGA4J2X7R2A104K125</t>
  </si>
  <si>
    <t>AC0603JRNPO9BN101</t>
  </si>
  <si>
    <t>AC0603KRX7R9BB104</t>
  </si>
  <si>
    <t>AC0805JRNPO9BN681</t>
  </si>
  <si>
    <t>AC0603JRNPO9BN330</t>
  </si>
  <si>
    <t>06035C103K4Z4A</t>
  </si>
  <si>
    <t>AC0603KRX7R9BB103</t>
  </si>
  <si>
    <t>CGA3E2X7R1H103K080AA</t>
  </si>
  <si>
    <t>CGA3E2X7R1H103K080AE</t>
  </si>
  <si>
    <t>AC0805KRX7R0BB103</t>
  </si>
  <si>
    <t>C0805C103K1RACAUTO</t>
  </si>
  <si>
    <t>AC0603KRX7R9BB473</t>
  </si>
  <si>
    <t>GCJ216R71H222KA</t>
  </si>
  <si>
    <t>GCE188R71H103K</t>
  </si>
  <si>
    <t>AC0805KRX7R9BB103</t>
  </si>
  <si>
    <t>C0805C103K5RACAUTO</t>
  </si>
  <si>
    <t>C0805C221K5RACAUTO</t>
  </si>
  <si>
    <t>08055C471K4T2A</t>
  </si>
  <si>
    <t>C0805C471K5RACAUTO</t>
  </si>
  <si>
    <t>C3225X7R1H106K250AC</t>
  </si>
  <si>
    <t>GCJ32EC71H106KA01L</t>
  </si>
  <si>
    <t>NRS6045T470MMGKV</t>
  </si>
  <si>
    <t>AS0603KRX7R0BB104</t>
  </si>
  <si>
    <t>Radial, Can</t>
  </si>
  <si>
    <t>EEE1HA220WAP</t>
  </si>
  <si>
    <t>C0805C224K5RACAUTO</t>
  </si>
  <si>
    <t>EEE1HA100AP</t>
  </si>
  <si>
    <t>CGA5L2X7R2A105K160AA</t>
  </si>
  <si>
    <t>CGA5L3X7R1H105M160AB</t>
  </si>
  <si>
    <t>06035C105KAT2A</t>
  </si>
  <si>
    <t>CGA4J1X7S1C106K125AC</t>
  </si>
  <si>
    <t>AC0603KRX7R9BB471</t>
  </si>
  <si>
    <t>08055C104K4Z2A</t>
  </si>
  <si>
    <t>AC0805KRX7R9BB102</t>
  </si>
  <si>
    <t>AC0603KRX7R9BB472</t>
  </si>
  <si>
    <t>C0603C472K5RACAUTO</t>
  </si>
  <si>
    <t>AC0805KRX7R9BB104</t>
  </si>
  <si>
    <t>CGA4J3X7R1H105M125AE</t>
  </si>
  <si>
    <t>CGA3E2X7R2A102K080AE</t>
  </si>
  <si>
    <t>CGA4J3X7S2A105M125AE</t>
  </si>
  <si>
    <t>CGA4J3X7S2A105K125AB</t>
  </si>
  <si>
    <t>AC0603JRNPO0BN101</t>
  </si>
  <si>
    <t>C1210F105K1RACAUTO</t>
  </si>
  <si>
    <t>C1210F104K1RACAUTO</t>
  </si>
  <si>
    <t>Taiyo Yuden</t>
  </si>
  <si>
    <t>GCM21BR72A104K</t>
  </si>
  <si>
    <t>YFA1N5819 TR</t>
  </si>
  <si>
    <t>CGA3E3X7S2A104K080AB</t>
  </si>
  <si>
    <t>12101C475K4T2A</t>
  </si>
  <si>
    <t>CGA4J3X8R2A473M125AE</t>
  </si>
  <si>
    <t>CGA3E3X7R1H224K080AB</t>
  </si>
  <si>
    <t>C0805X104K1RACAUTO</t>
  </si>
  <si>
    <t>KEMC0805X104K1RACAUTO</t>
  </si>
  <si>
    <t>CGA3E2X7R1H333K080AA</t>
  </si>
  <si>
    <t>T498A105K035ATE10K</t>
  </si>
  <si>
    <t>12061C104K4Z2A</t>
  </si>
  <si>
    <t>CGA3E2C0G1H101J080AA</t>
  </si>
  <si>
    <t>CGA3E2X7R1H104K080AA</t>
  </si>
  <si>
    <t>06035L104K4T2A</t>
  </si>
  <si>
    <t>CGA3E2X7R1H102K080AA</t>
  </si>
  <si>
    <t>C0805C222K5RAC3123</t>
  </si>
  <si>
    <t>C1206C103K5RAC3123</t>
  </si>
  <si>
    <t>C1206F105K5RACAUTO</t>
  </si>
  <si>
    <t>CGA5L3X7S2A225M160AB</t>
  </si>
  <si>
    <t>GCM21BC72A105KE36L</t>
  </si>
  <si>
    <t>CGA3E2X7R2A472K080AA</t>
  </si>
  <si>
    <t>CGA3E2X7R2A102M080AA</t>
  </si>
  <si>
    <t>08051C105K4T2A</t>
  </si>
  <si>
    <t>C0603C103K5RACAUTO</t>
  </si>
  <si>
    <t>CL31B475KBHVPNE</t>
  </si>
  <si>
    <t>12065C475K4T2A</t>
  </si>
  <si>
    <t>AC0402KRX7R9BB104</t>
  </si>
  <si>
    <t>C0603C120J5GACAUTO</t>
  </si>
  <si>
    <t>AS0805KRX7R9BB473</t>
  </si>
  <si>
    <t>GCJ188R72A472KA01</t>
  </si>
  <si>
    <t>12061C225K4Z2A</t>
  </si>
  <si>
    <t>C1206X103K5RACAUTO</t>
  </si>
  <si>
    <t>C0603C562F8HACAUTO</t>
  </si>
  <si>
    <t>C0603C682K5RACAUTO</t>
  </si>
  <si>
    <t>08055A470J4T2A</t>
  </si>
  <si>
    <t>08055C562K4T2A</t>
  </si>
  <si>
    <t>CL21C101JB61PNC</t>
  </si>
  <si>
    <t>1206Y0500224MXTE03</t>
  </si>
  <si>
    <t>06035C680KAT2A</t>
  </si>
  <si>
    <t>C0603C123J1RACAUTO</t>
  </si>
  <si>
    <t>CGA3E3X7R1H474K080AB</t>
  </si>
  <si>
    <t>GRT21BC71H475KE13L</t>
  </si>
  <si>
    <t>C0603C562J5GACAUTO</t>
  </si>
  <si>
    <t>C1206C473K5RECAUTO</t>
  </si>
  <si>
    <t>C0603C470K5HACAUTO</t>
  </si>
  <si>
    <t>08051C474K4Z2A</t>
  </si>
  <si>
    <t>AC0805JRNPO9BN331</t>
  </si>
  <si>
    <t>C0805C331J5GAUTO</t>
  </si>
  <si>
    <t>CGA5L3X7R1H475K160AE</t>
  </si>
  <si>
    <t>CL10B105KB9VPJC</t>
  </si>
  <si>
    <t>CGA4J3X7R1H225K125AE</t>
  </si>
  <si>
    <t>Temperature Coefficient</t>
  </si>
  <si>
    <t>164mOhm</t>
  </si>
  <si>
    <t>40mOhm</t>
  </si>
  <si>
    <r>
      <t>BAV170Q</t>
    </r>
    <r>
      <rPr>
        <sz val="11"/>
        <color rgb="FFFF0000"/>
        <rFont val="Calibri"/>
        <family val="2"/>
        <charset val="162"/>
        <scheme val="minor"/>
      </rPr>
      <t>-7-F</t>
    </r>
  </si>
  <si>
    <r>
      <t>S1JHE3_</t>
    </r>
    <r>
      <rPr>
        <sz val="11"/>
        <color rgb="FFFF0000"/>
        <rFont val="Calibri"/>
        <family val="2"/>
        <charset val="162"/>
        <scheme val="minor"/>
      </rPr>
      <t>A/H</t>
    </r>
  </si>
  <si>
    <t>0.5A</t>
  </si>
  <si>
    <t>RS07D-HM3</t>
  </si>
  <si>
    <r>
      <t>RS07D-HM3</t>
    </r>
    <r>
      <rPr>
        <sz val="11"/>
        <color rgb="FFFF0000"/>
        <rFont val="Calibri"/>
        <family val="2"/>
        <charset val="162"/>
        <scheme val="minor"/>
      </rPr>
      <t>-08</t>
    </r>
  </si>
  <si>
    <t>Diotec Semiconductor</t>
  </si>
  <si>
    <t>İPTAL-reel kodu eksik</t>
  </si>
  <si>
    <t>İPTAL</t>
  </si>
  <si>
    <t>reel kodu eksik</t>
  </si>
  <si>
    <t>BZX84-B6V8</t>
  </si>
  <si>
    <t>BZX84-B6V8-Q</t>
  </si>
  <si>
    <t>BZX84-B6V8-QR</t>
  </si>
  <si>
    <t>4E42000022</t>
  </si>
  <si>
    <t>4E42000025</t>
  </si>
  <si>
    <t>SM6T24AY</t>
  </si>
  <si>
    <t>4E42000026</t>
  </si>
  <si>
    <t>4E42000028</t>
  </si>
  <si>
    <t>4E42000030</t>
  </si>
  <si>
    <t>4E42000031</t>
  </si>
  <si>
    <t>Uni-Polar</t>
  </si>
  <si>
    <t>Diode_TVS_Unidirectional_Symbol_CathodeLeft</t>
  </si>
  <si>
    <t>FEKA NO İPTAL</t>
  </si>
  <si>
    <t>Açıklama Unidirection</t>
  </si>
  <si>
    <r>
      <t>SMBJ33CAHE3_</t>
    </r>
    <r>
      <rPr>
        <sz val="11"/>
        <color rgb="FFFF0000"/>
        <rFont val="Calibri"/>
        <family val="2"/>
        <scheme val="minor"/>
      </rPr>
      <t>A/I</t>
    </r>
  </si>
  <si>
    <r>
      <t>SMBJ33CAHE3_</t>
    </r>
    <r>
      <rPr>
        <sz val="11"/>
        <color rgb="FFFF0000"/>
        <rFont val="Calibri"/>
        <family val="2"/>
        <scheme val="minor"/>
      </rPr>
      <t>B/H</t>
    </r>
  </si>
  <si>
    <r>
      <t>SM6T30CA-</t>
    </r>
    <r>
      <rPr>
        <sz val="11"/>
        <color rgb="FFFF0000"/>
        <rFont val="Calibri"/>
        <family val="2"/>
        <scheme val="minor"/>
      </rPr>
      <t>E3/52</t>
    </r>
  </si>
  <si>
    <r>
      <t>SM6T24A-</t>
    </r>
    <r>
      <rPr>
        <sz val="11"/>
        <color rgb="FFFF0000"/>
        <rFont val="Calibri"/>
        <family val="2"/>
        <scheme val="minor"/>
      </rPr>
      <t>E3/52</t>
    </r>
  </si>
  <si>
    <r>
      <t>SM6T24A-</t>
    </r>
    <r>
      <rPr>
        <sz val="11"/>
        <color rgb="FFFF0000"/>
        <rFont val="Calibri"/>
        <family val="2"/>
        <scheme val="minor"/>
      </rPr>
      <t>HE3/52</t>
    </r>
  </si>
  <si>
    <t>42V</t>
  </si>
  <si>
    <t>SM6T42CAY</t>
  </si>
  <si>
    <t>4E42000087</t>
  </si>
  <si>
    <t>PN eksik, özellikler belirsiz.</t>
  </si>
  <si>
    <t>IFS de İptal yazıyor</t>
  </si>
  <si>
    <t>IFS'deki PN tanımının başına C harfi eklenmeli.</t>
  </si>
  <si>
    <t>aynı referansta farklı özelliklerde komponent mevcut.</t>
  </si>
  <si>
    <t>4E12000402</t>
  </si>
  <si>
    <t>2.2Ohm</t>
  </si>
  <si>
    <t>SG73P2ATTD2R2J</t>
  </si>
  <si>
    <t>S1M-E3</t>
  </si>
  <si>
    <r>
      <t>BAS21</t>
    </r>
    <r>
      <rPr>
        <sz val="11"/>
        <color rgb="FFFF0000"/>
        <rFont val="Calibri"/>
        <family val="2"/>
        <scheme val="minor"/>
      </rPr>
      <t>,215</t>
    </r>
  </si>
  <si>
    <t>NXESBAS21,215 PN YOK DÜZELTİLDİ</t>
  </si>
  <si>
    <r>
      <t>S1KHE3</t>
    </r>
    <r>
      <rPr>
        <sz val="11"/>
        <color rgb="FFFF0000"/>
        <rFont val="Calibri"/>
        <family val="2"/>
        <scheme val="minor"/>
      </rPr>
      <t>_A/I</t>
    </r>
  </si>
  <si>
    <r>
      <t>BAV170</t>
    </r>
    <r>
      <rPr>
        <sz val="11"/>
        <color rgb="FFFF0000"/>
        <rFont val="Calibri"/>
        <family val="2"/>
        <scheme val="minor"/>
      </rPr>
      <t>,215</t>
    </r>
  </si>
  <si>
    <t>0.32A</t>
  </si>
  <si>
    <r>
      <t>BAV170QA</t>
    </r>
    <r>
      <rPr>
        <sz val="11"/>
        <color rgb="FFFF0000"/>
        <rFont val="Calibri"/>
        <family val="2"/>
        <scheme val="minor"/>
      </rPr>
      <t>Z</t>
    </r>
  </si>
  <si>
    <t>70V</t>
  </si>
  <si>
    <r>
      <t>PMBD6100</t>
    </r>
    <r>
      <rPr>
        <sz val="11"/>
        <color rgb="FFFF0000"/>
        <rFont val="Calibri"/>
        <family val="2"/>
        <scheme val="minor"/>
      </rPr>
      <t>,215</t>
    </r>
  </si>
  <si>
    <r>
      <t>BAV170-Q</t>
    </r>
    <r>
      <rPr>
        <sz val="11"/>
        <color rgb="FFFF0000"/>
        <rFont val="Calibri"/>
        <family val="2"/>
        <scheme val="minor"/>
      </rPr>
      <t>R</t>
    </r>
  </si>
  <si>
    <t>SBAS16LT1G</t>
  </si>
  <si>
    <t>ONSBAS16LT1G PN DÜZELTİLDİ</t>
  </si>
  <si>
    <t>NXEBAV170QAZ PN DÜZELTİLDİ</t>
  </si>
  <si>
    <r>
      <t>BAS16</t>
    </r>
    <r>
      <rPr>
        <sz val="11"/>
        <color rgb="FFFF0000"/>
        <rFont val="Calibri"/>
        <family val="2"/>
        <scheme val="minor"/>
      </rPr>
      <t>, 215</t>
    </r>
  </si>
  <si>
    <r>
      <t>BAS16-Q</t>
    </r>
    <r>
      <rPr>
        <sz val="11"/>
        <color rgb="FFFF0000"/>
        <rFont val="Calibri"/>
        <family val="2"/>
        <scheme val="minor"/>
      </rPr>
      <t>R</t>
    </r>
  </si>
  <si>
    <t>S1JHE3_A/I</t>
  </si>
  <si>
    <t>4E42000024</t>
  </si>
  <si>
    <t>4E42000078</t>
  </si>
  <si>
    <t>0.9V</t>
  </si>
  <si>
    <t>ES3D-E3/57T</t>
  </si>
  <si>
    <t>ES3D-E3/9AT</t>
  </si>
  <si>
    <t>4E42000054</t>
  </si>
  <si>
    <r>
      <t>BAS16H</t>
    </r>
    <r>
      <rPr>
        <sz val="11"/>
        <color rgb="FFFF0000"/>
        <rFont val="Calibri"/>
        <family val="2"/>
        <scheme val="minor"/>
      </rPr>
      <t>,115</t>
    </r>
  </si>
  <si>
    <t>4E42000066</t>
  </si>
  <si>
    <t>0.98V</t>
  </si>
  <si>
    <t>RR268MM-600TFTR</t>
  </si>
  <si>
    <t>4E42000065</t>
  </si>
  <si>
    <t>0.7A</t>
  </si>
  <si>
    <t>RR264MM-400TFTR</t>
  </si>
  <si>
    <t>4E72000014</t>
  </si>
  <si>
    <t>80V</t>
  </si>
  <si>
    <t>1.5W</t>
  </si>
  <si>
    <t>SOT223</t>
  </si>
  <si>
    <t>BCP56T1G</t>
  </si>
  <si>
    <t xml:space="preserve">SBCP56T1G </t>
  </si>
  <si>
    <t>4E72000010</t>
  </si>
  <si>
    <t>0.6W</t>
  </si>
  <si>
    <t>BCP56-16T-QF</t>
  </si>
  <si>
    <t>4E72000012</t>
  </si>
  <si>
    <t>SOT89</t>
  </si>
  <si>
    <t>BCX54-16-QX</t>
  </si>
  <si>
    <t>4E72000011</t>
  </si>
  <si>
    <t xml:space="preserve">BC846-QR </t>
  </si>
  <si>
    <r>
      <t>BC846</t>
    </r>
    <r>
      <rPr>
        <sz val="11"/>
        <color rgb="FFFF0000"/>
        <rFont val="Calibri"/>
        <family val="2"/>
        <scheme val="minor"/>
      </rPr>
      <t>,215</t>
    </r>
  </si>
  <si>
    <t>4E72000022</t>
  </si>
  <si>
    <t>BCX54-QX</t>
  </si>
  <si>
    <t>4E72000004</t>
  </si>
  <si>
    <t>SOT−363</t>
  </si>
  <si>
    <t>SMUN5111DW1T1G</t>
  </si>
  <si>
    <t>4E72000033</t>
  </si>
  <si>
    <t>4V</t>
  </si>
  <si>
    <t>SC-70</t>
  </si>
  <si>
    <t>SMMBTA06WT3G</t>
  </si>
  <si>
    <t>4E72000005</t>
  </si>
  <si>
    <t>DDC114EUQ-7-F</t>
  </si>
  <si>
    <t>4E72000006</t>
  </si>
  <si>
    <t>SMMUN2111LT1G</t>
  </si>
  <si>
    <t>4E72000029</t>
  </si>
  <si>
    <r>
      <t>BCP52-16</t>
    </r>
    <r>
      <rPr>
        <sz val="11"/>
        <color rgb="FFFF0000"/>
        <rFont val="Calibri"/>
        <family val="2"/>
        <scheme val="minor"/>
      </rPr>
      <t>,115</t>
    </r>
  </si>
  <si>
    <t>4E72000023</t>
  </si>
  <si>
    <t>NPN&amp;PNP</t>
  </si>
  <si>
    <t>BCR35PNH6327XTSA1</t>
  </si>
  <si>
    <t>4E72000013</t>
  </si>
  <si>
    <t xml:space="preserve"> BC817-40W</t>
  </si>
  <si>
    <r>
      <t>BC817-40W</t>
    </r>
    <r>
      <rPr>
        <sz val="11"/>
        <color rgb="FFFF0000"/>
        <rFont val="Calibri"/>
        <family val="2"/>
        <scheme val="minor"/>
      </rPr>
      <t>,135</t>
    </r>
  </si>
  <si>
    <t>4E72000030</t>
  </si>
  <si>
    <r>
      <t>BC807</t>
    </r>
    <r>
      <rPr>
        <sz val="11"/>
        <color rgb="FFFF0000"/>
        <rFont val="Calibri"/>
        <family val="2"/>
        <scheme val="minor"/>
      </rPr>
      <t>,215</t>
    </r>
  </si>
  <si>
    <t>BC807-QR</t>
  </si>
  <si>
    <t>4E42000052</t>
  </si>
  <si>
    <t>DCX114YUQ-7-F</t>
  </si>
  <si>
    <t>SMUN2111T1G</t>
  </si>
  <si>
    <t>PN'nin başındaki ONS ibaresi kaldırıldı.</t>
  </si>
  <si>
    <t>0.225W</t>
  </si>
  <si>
    <t>0.31W</t>
  </si>
  <si>
    <t>0.187W</t>
  </si>
  <si>
    <t>0.46W</t>
  </si>
  <si>
    <t>0.2W</t>
  </si>
  <si>
    <t>0.202W</t>
  </si>
  <si>
    <t>0.65W</t>
  </si>
  <si>
    <t>0.23W</t>
  </si>
  <si>
    <t>2.5V</t>
  </si>
  <si>
    <t>0.07A</t>
  </si>
  <si>
    <t>4E72000032</t>
  </si>
  <si>
    <t>13A</t>
  </si>
  <si>
    <t>20V</t>
  </si>
  <si>
    <t>3.2W</t>
  </si>
  <si>
    <t>WDFN-8</t>
  </si>
  <si>
    <t>NVTFWS9D6P04M8LTAG</t>
  </si>
  <si>
    <t>4E72000034</t>
  </si>
  <si>
    <t>100A</t>
  </si>
  <si>
    <t>3.5W</t>
  </si>
  <si>
    <t>PowerDI3333-8</t>
  </si>
  <si>
    <t>DMTH43M7LFGQ</t>
  </si>
  <si>
    <t>2.62W</t>
  </si>
  <si>
    <t>DMTH43M8LFGQ</t>
  </si>
  <si>
    <t>4E72000031</t>
  </si>
  <si>
    <t>9.4A</t>
  </si>
  <si>
    <t>2.9W</t>
  </si>
  <si>
    <t>NVTFS015N04CTAG</t>
  </si>
  <si>
    <t>4E72000038</t>
  </si>
  <si>
    <t>0.8W</t>
  </si>
  <si>
    <t>U-DFN2020-6 (Type F)</t>
  </si>
  <si>
    <r>
      <t>DMT10H072LFDFQ-</t>
    </r>
    <r>
      <rPr>
        <sz val="11"/>
        <color rgb="FFFF0000"/>
        <rFont val="Calibri"/>
        <family val="2"/>
        <scheme val="minor"/>
      </rPr>
      <t>7</t>
    </r>
  </si>
  <si>
    <t>4E72000019</t>
  </si>
  <si>
    <t>55V</t>
  </si>
  <si>
    <t>0.54A</t>
  </si>
  <si>
    <t>0.36W</t>
  </si>
  <si>
    <t>BSS670S2LH6327XTSA1</t>
  </si>
  <si>
    <t>4E72000009</t>
  </si>
  <si>
    <t>1.2W</t>
  </si>
  <si>
    <t>YJL03N06AQ</t>
  </si>
  <si>
    <t>Yangjie</t>
  </si>
  <si>
    <t>DMN6075S-7</t>
  </si>
  <si>
    <t>DMN6075S-07</t>
  </si>
  <si>
    <t>DMN6075SQ-13</t>
  </si>
  <si>
    <t>DMN6075SQ-7</t>
  </si>
  <si>
    <t>ID No</t>
  </si>
  <si>
    <t>4.7V</t>
  </si>
  <si>
    <t>15V</t>
  </si>
  <si>
    <t>3.6V</t>
  </si>
  <si>
    <t>5.6V</t>
  </si>
  <si>
    <t>6.8V</t>
  </si>
  <si>
    <t>4E42000051</t>
  </si>
  <si>
    <t>12V</t>
  </si>
  <si>
    <t>BZX84-A12-QR</t>
  </si>
  <si>
    <t>BZX84-A12,215</t>
  </si>
  <si>
    <t>4E42000069</t>
  </si>
  <si>
    <t>BZT52C12SQ-7-F</t>
  </si>
  <si>
    <t>4E42000070</t>
  </si>
  <si>
    <t>5.1V</t>
  </si>
  <si>
    <t>PDZ5.1B-Q</t>
  </si>
  <si>
    <t>PZD5.1B</t>
  </si>
  <si>
    <t>PDZ5.1B,115</t>
  </si>
  <si>
    <t>4E42000033</t>
  </si>
  <si>
    <t>BZX585-B16-QX</t>
  </si>
  <si>
    <t>BZX585-B16</t>
  </si>
  <si>
    <t>BZT52-B16T-HT</t>
  </si>
  <si>
    <t>BZX585-B16,115</t>
  </si>
  <si>
    <t>4E42000053</t>
  </si>
  <si>
    <t>18V</t>
  </si>
  <si>
    <t>BZT52H-C18,115</t>
  </si>
  <si>
    <t>4E42000042</t>
  </si>
  <si>
    <t>6.2V</t>
  </si>
  <si>
    <t>BZX84B6V2HE3-TP</t>
  </si>
  <si>
    <t>MCC</t>
  </si>
  <si>
    <t>BZX84C6V2-HE3-08</t>
  </si>
  <si>
    <t>BZX84B6V2-E3-08</t>
  </si>
  <si>
    <t>4E42000059</t>
  </si>
  <si>
    <t>3.9V</t>
  </si>
  <si>
    <t>BZX84-C3V9,215</t>
  </si>
  <si>
    <t>BZX84-C3V9-QR</t>
  </si>
  <si>
    <t>BZX84-C3V9-Q</t>
  </si>
  <si>
    <t>BZX84C4V7-HE3-08</t>
  </si>
  <si>
    <t>0.53V</t>
  </si>
  <si>
    <t>0.7V</t>
  </si>
  <si>
    <t>0.63V</t>
  </si>
  <si>
    <t>4E42000040</t>
  </si>
  <si>
    <t>0.52V</t>
  </si>
  <si>
    <t>PMEG6010CEJ,115</t>
  </si>
  <si>
    <t>4E42000067</t>
  </si>
  <si>
    <t>0.77V</t>
  </si>
  <si>
    <t>PMEG10010ELRX</t>
  </si>
  <si>
    <t>PMEG10010ELR-Q</t>
  </si>
  <si>
    <t>PMEG10010ELR-QX</t>
  </si>
  <si>
    <t>4E42000068</t>
  </si>
  <si>
    <t>SOD-523</t>
  </si>
  <si>
    <t>RB511SM-40FHT2R</t>
  </si>
  <si>
    <t>0.85V</t>
  </si>
  <si>
    <t>RB510SM-40FHT2R</t>
  </si>
  <si>
    <t>Max Peak Pulse Current(A)</t>
  </si>
  <si>
    <t>SM6T39CA-E3</t>
  </si>
  <si>
    <t>SM6T30CAY</t>
  </si>
  <si>
    <t>SM6T24CA-E3</t>
  </si>
  <si>
    <t>10.6A</t>
  </si>
  <si>
    <t>4E42000056</t>
  </si>
  <si>
    <t>82V</t>
  </si>
  <si>
    <t>SM4T82CAY</t>
  </si>
  <si>
    <t>4E42000055</t>
  </si>
  <si>
    <t>8.8A</t>
  </si>
  <si>
    <t>SM4T33CAY</t>
  </si>
  <si>
    <t>4E42000032</t>
  </si>
  <si>
    <t>26V</t>
  </si>
  <si>
    <t>14.3A</t>
  </si>
  <si>
    <t>P6SMBJ26CA-AQ</t>
  </si>
  <si>
    <t>P6SMB30CAHE3_A/H</t>
  </si>
  <si>
    <t>14.7A</t>
  </si>
  <si>
    <t>P6SMB30CA-Q</t>
  </si>
  <si>
    <t>P6SMBJ26CA</t>
  </si>
  <si>
    <t>14.2A</t>
  </si>
  <si>
    <t>SMBJ26CAHE3-TP</t>
  </si>
  <si>
    <t>SM6T30CA-HE3/52</t>
  </si>
  <si>
    <t>P6SMB30CAHE3_B/H</t>
  </si>
  <si>
    <t>4E42000049</t>
  </si>
  <si>
    <t>1500W</t>
  </si>
  <si>
    <t>29A</t>
  </si>
  <si>
    <t>SMCJ33CA-TR</t>
  </si>
  <si>
    <t>28.1A</t>
  </si>
  <si>
    <t>SMCJ33CA-E3/57T</t>
  </si>
  <si>
    <t>33A</t>
  </si>
  <si>
    <t>SM15T33CAY</t>
  </si>
  <si>
    <t>SMCJ33CAHE3/57T</t>
  </si>
  <si>
    <t>4E42000071</t>
  </si>
  <si>
    <t>7.5A</t>
  </si>
  <si>
    <t>SMAJ33CAQ-13-F</t>
  </si>
  <si>
    <t>4E42000076</t>
  </si>
  <si>
    <t>SMAJ70CAH</t>
  </si>
  <si>
    <t>SMAJ70CA</t>
  </si>
  <si>
    <t>X8L</t>
  </si>
  <si>
    <t>25V</t>
  </si>
  <si>
    <t>12pF</t>
  </si>
  <si>
    <t>220uF</t>
  </si>
  <si>
    <t>Nichicon</t>
  </si>
  <si>
    <t>27pF</t>
  </si>
  <si>
    <t>63V</t>
  </si>
  <si>
    <t>5.6nF</t>
  </si>
  <si>
    <t>6.8nF</t>
  </si>
  <si>
    <t>47pF</t>
  </si>
  <si>
    <t xml:space="preserve">NP0 </t>
  </si>
  <si>
    <t>Knowles Syfer</t>
  </si>
  <si>
    <t>68pF</t>
  </si>
  <si>
    <t>12nF</t>
  </si>
  <si>
    <t>470nF</t>
  </si>
  <si>
    <t>4.7pF</t>
  </si>
  <si>
    <t>0.53%</t>
  </si>
  <si>
    <t>2.7nF</t>
  </si>
  <si>
    <t>330pF</t>
  </si>
  <si>
    <t>X7T</t>
  </si>
  <si>
    <t>CL10B102KB8WPNC</t>
  </si>
  <si>
    <t>GCE188R71H102KA01D</t>
  </si>
  <si>
    <t xml:space="preserve">CGA4J2X7R1H104K125AE </t>
  </si>
  <si>
    <t>CGA4J2X7R1H104K125AM</t>
  </si>
  <si>
    <t>CL21B104KBFWPNE</t>
  </si>
  <si>
    <t>GCE21BR71H104KA01L</t>
  </si>
  <si>
    <t>KAF21BR71H104KT</t>
  </si>
  <si>
    <t>CL21B105KBFVPJE</t>
  </si>
  <si>
    <t>CL21B105KBFVPNE</t>
  </si>
  <si>
    <t>CL21Y105KCFVPJE</t>
  </si>
  <si>
    <t>GCJ21BR71H105KA01L</t>
  </si>
  <si>
    <t>GCM21BR71H105KA03L</t>
  </si>
  <si>
    <t>CGA3E3X7S2A104K080AE</t>
  </si>
  <si>
    <t>CL21B104KCFWPNE</t>
  </si>
  <si>
    <t>GCJ21BR72A104KA01L</t>
  </si>
  <si>
    <t>CL10C101JB81PNC</t>
  </si>
  <si>
    <t xml:space="preserve">CL10B104KB85PNC </t>
  </si>
  <si>
    <t>CL10B104KB8WPNC</t>
  </si>
  <si>
    <t>GCM188R71H104KA57D</t>
  </si>
  <si>
    <t>CL10B473KC8WPNC</t>
  </si>
  <si>
    <t>GCJ21BR72A473KA01L</t>
  </si>
  <si>
    <t>CL31C681JBCNNNC</t>
  </si>
  <si>
    <t>GCM2165C1H681JA16D</t>
  </si>
  <si>
    <t>GCM1885C1H330JA16D</t>
  </si>
  <si>
    <t>CL10B103KB8WPNC</t>
  </si>
  <si>
    <t>GCM188R71H103KA37D</t>
  </si>
  <si>
    <t>CL21B103KC6WPNC</t>
  </si>
  <si>
    <t>CGA4J2X7R2A104xxxxxx</t>
  </si>
  <si>
    <t>GCJ21BR72A104xxxx</t>
  </si>
  <si>
    <t>GCM21BR72A104KA37L</t>
  </si>
  <si>
    <t>CGA4J3X7S2A105xxxxxx</t>
  </si>
  <si>
    <t>GCJ21BC72A105xxxx</t>
  </si>
  <si>
    <t>CL21B103KB6WPNC</t>
  </si>
  <si>
    <t>GCM216R71H103KA37D</t>
  </si>
  <si>
    <t>CL21B102KB6WPNC</t>
  </si>
  <si>
    <t>GCM216R71H102KA37D</t>
  </si>
  <si>
    <t>CL21B102KC65PNC</t>
  </si>
  <si>
    <t>CL21B102KC6WPNC</t>
  </si>
  <si>
    <t>CC0805KRX7R9BB471</t>
  </si>
  <si>
    <t>CL21C471JBC1PNC</t>
  </si>
  <si>
    <t>GCJ31CR72A105KA01L</t>
  </si>
  <si>
    <t>GCM32DC72A475KE02L</t>
  </si>
  <si>
    <t>GCM32EC71H106KA03L</t>
  </si>
  <si>
    <t>GCJ216R71H222KA01D</t>
  </si>
  <si>
    <t>GCJ31CR71H225KA12L</t>
  </si>
  <si>
    <t>GCJ188R72A104KA01D</t>
  </si>
  <si>
    <t>CL10B472KC8WPNC</t>
  </si>
  <si>
    <t>GCJ188R72A472KA01D</t>
  </si>
  <si>
    <t>GCM188R72A472KA37D</t>
  </si>
  <si>
    <t>GCM31CR71H225KA55L</t>
  </si>
  <si>
    <t>GCM21BR71H104KA37L</t>
  </si>
  <si>
    <t>CL21B472KB65PNC</t>
  </si>
  <si>
    <t>GCM216R71H472JA37D</t>
  </si>
  <si>
    <t>GCM2165C1H101JA16D</t>
  </si>
  <si>
    <t>CL21B224KBFVPNE</t>
  </si>
  <si>
    <t>GCM21BR71A106KE22L</t>
  </si>
  <si>
    <t>GCJ31CR72A105KA01K</t>
  </si>
  <si>
    <t>CL10B224KO8NNNC- NOT AC</t>
  </si>
  <si>
    <t>C0603C224K4RACAUTO7411</t>
  </si>
  <si>
    <t>CL10B224KO8VPNC</t>
  </si>
  <si>
    <t>GCJ188R71C224KA01D</t>
  </si>
  <si>
    <t>CL10A105KB8NNNC-NOT AC</t>
  </si>
  <si>
    <t>GRT188R61H105KE13D</t>
  </si>
  <si>
    <t>CL21Y106KOBVPNE</t>
  </si>
  <si>
    <t>GRM21BC71C106KE11L</t>
  </si>
  <si>
    <t>CL21C102JBC1PNC</t>
  </si>
  <si>
    <t>CL10B472KB8WPNC</t>
  </si>
  <si>
    <t>CL10B472KB85PNC</t>
  </si>
  <si>
    <t>CL10B102KC8WPNC</t>
  </si>
  <si>
    <t>GCJ188R72A102KA01J</t>
  </si>
  <si>
    <t>GCJ188R72A102KA01D</t>
  </si>
  <si>
    <t>GCJ21BR72A104KA01K</t>
  </si>
  <si>
    <t>GCJ21BC72A105KE02L</t>
  </si>
  <si>
    <t>GRJ21BC72A105KE11L(ALTERNATIF)</t>
  </si>
  <si>
    <t>GRJ21BC72A105KE11L</t>
  </si>
  <si>
    <t>CL10C101JC81PNC</t>
  </si>
  <si>
    <t>MURGCM188R72A103KA37D</t>
  </si>
  <si>
    <t>GCM188R72A103KA37D</t>
  </si>
  <si>
    <t>HMF325B7104KNHT</t>
  </si>
  <si>
    <t>GCE188R71H103KA01D</t>
  </si>
  <si>
    <t>C0603X103M5RAC3121</t>
  </si>
  <si>
    <t>C0603C102K5RACAUTO7411</t>
  </si>
  <si>
    <t>CL21B473KCFNNNE</t>
  </si>
  <si>
    <t>KEMC0603C471K5RAC7411</t>
  </si>
  <si>
    <t>C0603C471K5RACAUTO7411</t>
  </si>
  <si>
    <t>UMK325B7475MMHP</t>
  </si>
  <si>
    <t>CL10B683KB8WPNC</t>
  </si>
  <si>
    <t>CL10B683KB85PNC</t>
  </si>
  <si>
    <t>CL10B472KB8NNNC</t>
  </si>
  <si>
    <t>SMSCL10B472KB85PNC</t>
  </si>
  <si>
    <t>MUR GCM188R71H103KA37D</t>
  </si>
  <si>
    <t>CL10B102KB85PNL</t>
  </si>
  <si>
    <t>CL10B103KB85PNL</t>
  </si>
  <si>
    <t>CL31B475KBHNNNE- NOT AC</t>
  </si>
  <si>
    <t>CGA4J1X7R1H475K125AE</t>
  </si>
  <si>
    <t>GRM155R61E105KA12D</t>
  </si>
  <si>
    <t>GRT155R61E105KE01D</t>
  </si>
  <si>
    <t>GCM155R71H104KE02D</t>
  </si>
  <si>
    <t>GCM21BR71C475KA73L</t>
  </si>
  <si>
    <t>CL21B475KOQVPNE</t>
  </si>
  <si>
    <t>CL31Y106KBKVPNE</t>
  </si>
  <si>
    <t>CL31B106KBHNNNE (O'SIZ)</t>
  </si>
  <si>
    <t>GCM1885C1H221JA16D</t>
  </si>
  <si>
    <t>CL10B221KB8WPNC</t>
  </si>
  <si>
    <t>UCD1C221MCL6GS</t>
  </si>
  <si>
    <t>CL10C270JB81PNC</t>
  </si>
  <si>
    <t>C0603C472K5RAC3121</t>
  </si>
  <si>
    <t>GYB1J220MCQ1GS</t>
  </si>
  <si>
    <t>SMSCL32B226KOJVPNE</t>
  </si>
  <si>
    <t>CL10B103KB8NNNC</t>
  </si>
  <si>
    <t>GCD21BR71H473KA01L</t>
  </si>
  <si>
    <t>GCE21BR71H473KA01L</t>
  </si>
  <si>
    <t>CL05B471KB5VPNC</t>
  </si>
  <si>
    <t>GCM155R71H471KA37D</t>
  </si>
  <si>
    <t>CL05B103KB5VPNC</t>
  </si>
  <si>
    <t>C0402C103K5RACAUTOMLCC</t>
  </si>
  <si>
    <t>GCM155R71H103KA55D</t>
  </si>
  <si>
    <t>GRT21BR61C226ME13L</t>
  </si>
  <si>
    <t>CL21C270JB61PNC</t>
  </si>
  <si>
    <t>CL21B474KBFVPNE</t>
  </si>
  <si>
    <t>GCM1885C2A4R7CA16D</t>
  </si>
  <si>
    <t>GCM21BR71H474KA55L</t>
  </si>
  <si>
    <t>CL21Y475KBBVPJE</t>
  </si>
  <si>
    <t>GRT21BR61H475KE13K</t>
  </si>
  <si>
    <t>GCM1885C1H272JA16D</t>
  </si>
  <si>
    <t>CL05B472KB5VPNC</t>
  </si>
  <si>
    <t>C0805X224K1REC7210</t>
  </si>
  <si>
    <t>KAF21KR72A224KU</t>
  </si>
  <si>
    <t>KAM21KR72A474KU</t>
  </si>
  <si>
    <t>CL21C331JB61PNC</t>
  </si>
  <si>
    <t>GCM188D71H105KE36J</t>
  </si>
  <si>
    <t>4E80000027</t>
  </si>
  <si>
    <t>502352-0400</t>
  </si>
  <si>
    <t>5023520400-Footprint-1</t>
  </si>
  <si>
    <t>Molex-4Pin</t>
  </si>
  <si>
    <t>4 PC Pad(ACT45B)</t>
  </si>
  <si>
    <t>AP64200Q</t>
  </si>
  <si>
    <t>AP64200Q_Symbol</t>
  </si>
  <si>
    <t>LS E67F_Fprt</t>
  </si>
  <si>
    <t>4E52000115</t>
  </si>
  <si>
    <t>NA</t>
  </si>
  <si>
    <t>RES-1218</t>
  </si>
  <si>
    <t>CMCs</t>
  </si>
  <si>
    <t>100uH@100KHz</t>
  </si>
  <si>
    <t>5KOhm@10MHz</t>
  </si>
  <si>
    <t>2Ohm</t>
  </si>
  <si>
    <t>Coilcraft</t>
  </si>
  <si>
    <t>CMC_Symbol</t>
  </si>
  <si>
    <t>DRV8825PWP</t>
  </si>
  <si>
    <t>MOTOR DRIVER</t>
  </si>
  <si>
    <t>HTSSOP-28</t>
  </si>
  <si>
    <t>Texas Instruments</t>
  </si>
  <si>
    <t>DRV8825PWP_Symbol</t>
  </si>
  <si>
    <t>Core Processor</t>
  </si>
  <si>
    <t>Program Memory Type</t>
  </si>
  <si>
    <t>ASIL Category</t>
  </si>
  <si>
    <t>STM32F103C8T6</t>
  </si>
  <si>
    <t>LQFP-48</t>
  </si>
  <si>
    <t>Microcontrollers</t>
  </si>
  <si>
    <t>STM32F103C8T6_Symbol</t>
  </si>
  <si>
    <t>SO-8EP</t>
  </si>
  <si>
    <t>TMP112_Symbol</t>
  </si>
  <si>
    <t>SOT-563</t>
  </si>
  <si>
    <t>Digital Temperature Sensor</t>
  </si>
  <si>
    <t>TMP112AIDRLR</t>
  </si>
  <si>
    <t>Fixed</t>
  </si>
  <si>
    <t>SOT-89</t>
  </si>
  <si>
    <t>STM</t>
  </si>
  <si>
    <t>ARM-M3</t>
  </si>
  <si>
    <t>72MHz</t>
  </si>
  <si>
    <t>64KB</t>
  </si>
  <si>
    <t>Flash</t>
  </si>
  <si>
    <t>Base Material</t>
  </si>
  <si>
    <t>Plating Material</t>
  </si>
  <si>
    <t>CuZn</t>
  </si>
  <si>
    <t>Sn</t>
  </si>
  <si>
    <t>4E52000007</t>
  </si>
  <si>
    <t>4E52000074</t>
  </si>
  <si>
    <t>4E52000020</t>
  </si>
  <si>
    <t>4E52000009</t>
  </si>
  <si>
    <t>4E52000010</t>
  </si>
  <si>
    <t>NFSA172CT</t>
  </si>
  <si>
    <t>LS.E67F</t>
  </si>
  <si>
    <t>KY.DMLS31.FY</t>
  </si>
  <si>
    <t>BACA-68-3A4A</t>
  </si>
  <si>
    <t>Nichia</t>
  </si>
  <si>
    <t>Everlight</t>
  </si>
  <si>
    <t>P13d22P14-L3-</t>
  </si>
  <si>
    <t>LUW.CEUN.CE</t>
  </si>
  <si>
    <t>5L7L-HNJN-8E8F</t>
  </si>
  <si>
    <t>6L7L-5F-8E8G</t>
  </si>
  <si>
    <t>BABB-1-3A4B</t>
  </si>
  <si>
    <t>4E12000050</t>
  </si>
  <si>
    <t>CQ06W4F8500T5E</t>
  </si>
  <si>
    <t>850Ohm</t>
  </si>
  <si>
    <t>Royalohm</t>
  </si>
  <si>
    <t>4E12000051</t>
  </si>
  <si>
    <t>AC1210FR-0738R3L</t>
  </si>
  <si>
    <t>CQ07U2F383JT5E</t>
  </si>
  <si>
    <t>Tam part no google da çıkmıyor</t>
  </si>
  <si>
    <t>Sütun1</t>
  </si>
  <si>
    <t>U2 kodlu datasheet yok !</t>
  </si>
  <si>
    <t>4E12000052</t>
  </si>
  <si>
    <t>AC1210FR-0724R9L</t>
  </si>
  <si>
    <t>CQ07U2F249JT5E</t>
  </si>
  <si>
    <t>38.3Ohm</t>
  </si>
  <si>
    <t>24.9Ohm</t>
  </si>
  <si>
    <t>AC1206FR-070RL</t>
  </si>
  <si>
    <t>AC1206JR-070RL</t>
  </si>
  <si>
    <t>RCS12060000Z0EA</t>
  </si>
  <si>
    <t>HP06W2F0000T5E</t>
  </si>
  <si>
    <t>4E12000054</t>
  </si>
  <si>
    <t>4E12000055</t>
  </si>
  <si>
    <t>AC1206JR-0730RL</t>
  </si>
  <si>
    <t>AC1206FR-7W30RL</t>
  </si>
  <si>
    <t>HP06W2F300JT5E</t>
  </si>
  <si>
    <t>MR12X30R0FTL</t>
  </si>
  <si>
    <t>30Ohm</t>
  </si>
  <si>
    <t>Walsin</t>
  </si>
  <si>
    <t>4E12000056</t>
  </si>
  <si>
    <t>CQ03SAF100JT5E</t>
  </si>
  <si>
    <t>SA kodlu datasheet yok !</t>
  </si>
  <si>
    <t>AC0603FR-0724R9L</t>
  </si>
  <si>
    <t>CQ03SAF249JT5E</t>
  </si>
  <si>
    <t>4E12000057</t>
  </si>
  <si>
    <t>4E12000058</t>
  </si>
  <si>
    <t>AC0603FR-0760R4L</t>
  </si>
  <si>
    <t>CQ03SAF590JT5E</t>
  </si>
  <si>
    <t>CRCW060360R4FKEA</t>
  </si>
  <si>
    <t>60.4Ohm</t>
  </si>
  <si>
    <t>59Ohm</t>
  </si>
  <si>
    <t>4E12000059</t>
  </si>
  <si>
    <t>CQ03SAF698JT5E</t>
  </si>
  <si>
    <t>69.8Ohm</t>
  </si>
  <si>
    <r>
      <t>SR1206FR-7W30R</t>
    </r>
    <r>
      <rPr>
        <sz val="11"/>
        <color rgb="FFFF0000"/>
        <rFont val="Calibri"/>
        <family val="2"/>
        <charset val="162"/>
        <scheme val="minor"/>
      </rPr>
      <t>L</t>
    </r>
  </si>
  <si>
    <t>L tanımda eksikti</t>
  </si>
  <si>
    <t>4E12000060</t>
  </si>
  <si>
    <t>AC0603FR-07120RL</t>
  </si>
  <si>
    <t>CQ03SAF1200T5E</t>
  </si>
  <si>
    <t>0402WGF2201TCE</t>
  </si>
  <si>
    <t>0.0625W</t>
  </si>
  <si>
    <t>2%</t>
  </si>
  <si>
    <t>6.38%</t>
  </si>
  <si>
    <t>4E12000061</t>
  </si>
  <si>
    <t>AC0603FR-07390RL</t>
  </si>
  <si>
    <t>CQ03SAF3900T5E</t>
  </si>
  <si>
    <t>ERJ3EKF3900V</t>
  </si>
  <si>
    <t>2.2KOhm</t>
  </si>
  <si>
    <t>WRC53233</t>
  </si>
  <si>
    <t>AC0603FR-1033KL</t>
  </si>
  <si>
    <r>
      <t>CRCW06033</t>
    </r>
    <r>
      <rPr>
        <sz val="11"/>
        <color rgb="FFFF0000"/>
        <rFont val="Calibri"/>
        <family val="2"/>
        <charset val="162"/>
        <scheme val="minor"/>
      </rPr>
      <t>3</t>
    </r>
    <r>
      <rPr>
        <sz val="11"/>
        <color theme="1"/>
        <rFont val="Calibri"/>
        <family val="2"/>
        <scheme val="minor"/>
      </rPr>
      <t>K0FKEA</t>
    </r>
  </si>
  <si>
    <t>komponent bulunamadı</t>
  </si>
  <si>
    <t xml:space="preserve">part noda yazan 10 datasheette bulunamadı </t>
  </si>
  <si>
    <t>AC1206JR-07220RL</t>
  </si>
  <si>
    <t>4E12000063</t>
  </si>
  <si>
    <t xml:space="preserve">AC1206FR-07220RL </t>
  </si>
  <si>
    <t>WHPC1206-220RFT5</t>
  </si>
  <si>
    <t xml:space="preserve">Google da çıkmadı </t>
  </si>
  <si>
    <t>Welwyn</t>
  </si>
  <si>
    <t>4E12000102</t>
  </si>
  <si>
    <t>AC0603FR-7W2K2L</t>
  </si>
  <si>
    <t>RMCF0603FT2K20</t>
  </si>
  <si>
    <t>0.66V</t>
  </si>
  <si>
    <t>Resistance Tolerance(%)</t>
  </si>
  <si>
    <t>Resistance@25°C(Ohm)</t>
  </si>
  <si>
    <t>Beta(K)</t>
  </si>
  <si>
    <t>Beta Tolerance(%)</t>
  </si>
  <si>
    <t>3940K</t>
  </si>
  <si>
    <t>Max Collector-Emitter Voltage(V)</t>
  </si>
  <si>
    <t>Max Collector Current(I)</t>
  </si>
  <si>
    <t>Max Base-Emitter Voltage(V)</t>
  </si>
  <si>
    <t>Max Drain-Source Voltage(V)</t>
  </si>
  <si>
    <t>Max Drain Current(I)</t>
  </si>
  <si>
    <t>Max Gate-Source Voltage(V)</t>
  </si>
  <si>
    <t>P-Ch</t>
  </si>
  <si>
    <t>N-Ch</t>
  </si>
  <si>
    <t>Max Output Voltage(V)</t>
  </si>
  <si>
    <t>Buck</t>
  </si>
  <si>
    <t>Max Output Current(I)</t>
  </si>
  <si>
    <t>Clock Speed(Hz)</t>
  </si>
  <si>
    <t>Core Size(Bit)</t>
  </si>
  <si>
    <t>32-Bit</t>
  </si>
  <si>
    <t>Program Memory Size(B)</t>
  </si>
  <si>
    <t>STD</t>
  </si>
  <si>
    <t>Impedance(Ohm)@Frequency(Hz)</t>
  </si>
  <si>
    <t>Max Rated Current(A)</t>
  </si>
  <si>
    <t>Max DCR(Ohm)</t>
  </si>
  <si>
    <t>Resistance(Ohm)</t>
  </si>
  <si>
    <t>Tolerance(%)</t>
  </si>
  <si>
    <t>Capacitance(F)</t>
  </si>
  <si>
    <t>Voltage(V)</t>
  </si>
  <si>
    <t>Inductance(H)</t>
  </si>
  <si>
    <t>Irms Current(A)</t>
  </si>
  <si>
    <t>Inductance(H)@Frequency(Hz)</t>
  </si>
  <si>
    <t>Max Peak Reverse Voltage(V)</t>
  </si>
  <si>
    <t>Max Forward Voltage(V)</t>
  </si>
  <si>
    <t>Max Forward Current(A)</t>
  </si>
  <si>
    <t>SOD-323EP</t>
  </si>
  <si>
    <t>Nom Zener Voltage(V)</t>
  </si>
  <si>
    <t>Max Reverse Voltage(V)</t>
  </si>
  <si>
    <t>NTC-0805</t>
  </si>
  <si>
    <t>Percentage R. Tolerance(%)</t>
  </si>
  <si>
    <t>9.47V</t>
  </si>
  <si>
    <t>2.3V</t>
  </si>
  <si>
    <t>2.35V</t>
  </si>
  <si>
    <t>3V</t>
  </si>
  <si>
    <t>2.15V</t>
  </si>
  <si>
    <t>2.97V</t>
  </si>
  <si>
    <t>2.95V</t>
  </si>
  <si>
    <t>0.05A</t>
  </si>
  <si>
    <t>0.35A</t>
  </si>
  <si>
    <t>Nom Forward Voltage(V)</t>
  </si>
  <si>
    <t>Nom Forward Current(A)</t>
  </si>
  <si>
    <t>PAD X-Size(mm)</t>
  </si>
  <si>
    <t>PAD Y-Size(mm)</t>
  </si>
  <si>
    <t>Hole X-Size(mm)</t>
  </si>
  <si>
    <t>Hole Y-Size(mm)</t>
  </si>
  <si>
    <t>Rectangular</t>
  </si>
  <si>
    <t>PADs</t>
  </si>
  <si>
    <t>1.5mm</t>
  </si>
  <si>
    <t>4mm</t>
  </si>
  <si>
    <t>1.2mm</t>
  </si>
  <si>
    <t>Hole Shape</t>
  </si>
  <si>
    <t>PAD Shape</t>
  </si>
  <si>
    <t>4E72000002</t>
  </si>
  <si>
    <r>
      <t>BCX56-16</t>
    </r>
    <r>
      <rPr>
        <sz val="11"/>
        <color rgb="FFFF0000"/>
        <rFont val="Calibri"/>
        <family val="2"/>
        <charset val="162"/>
        <scheme val="minor"/>
      </rPr>
      <t>,135</t>
    </r>
  </si>
  <si>
    <r>
      <t>BCX56-16</t>
    </r>
    <r>
      <rPr>
        <sz val="11"/>
        <color rgb="FFFF0000"/>
        <rFont val="Calibri"/>
        <family val="2"/>
        <charset val="162"/>
        <scheme val="minor"/>
      </rPr>
      <t>,115</t>
    </r>
  </si>
  <si>
    <r>
      <t>BCX56-16</t>
    </r>
    <r>
      <rPr>
        <sz val="11"/>
        <color theme="1"/>
        <rFont val="Calibri"/>
        <family val="2"/>
        <charset val="162"/>
        <scheme val="minor"/>
      </rPr>
      <t/>
    </r>
  </si>
  <si>
    <t>4E72000001</t>
  </si>
  <si>
    <t>BC817,215</t>
  </si>
  <si>
    <t>BC817-QR</t>
  </si>
  <si>
    <t>BC817-16</t>
  </si>
  <si>
    <t>BC817-16,215</t>
  </si>
  <si>
    <t>4E72000039</t>
  </si>
  <si>
    <t>4E72000042</t>
  </si>
  <si>
    <t>PMBT2907AYSX</t>
  </si>
  <si>
    <t>BC817DS,115</t>
  </si>
  <si>
    <t>0.37W</t>
  </si>
  <si>
    <t>BZX84-C4V3-QVL</t>
  </si>
  <si>
    <t>4E42000112</t>
  </si>
  <si>
    <t>7%</t>
  </si>
  <si>
    <t>4.3V</t>
  </si>
  <si>
    <t>SOT403-1</t>
  </si>
  <si>
    <t>74HC157PW-Q100</t>
  </si>
  <si>
    <t>Quad 2-input multiplexer</t>
  </si>
  <si>
    <t>4E02000014</t>
  </si>
  <si>
    <r>
      <t>SMBJ33CAHE3_</t>
    </r>
    <r>
      <rPr>
        <sz val="11"/>
        <color rgb="FFFF0000"/>
        <rFont val="Calibri"/>
        <family val="2"/>
        <scheme val="minor"/>
      </rPr>
      <t>B/I</t>
    </r>
  </si>
  <si>
    <t>CRCW060347K0FKEA</t>
  </si>
  <si>
    <t>AC0603FR-1347KL</t>
  </si>
  <si>
    <t>AC0603FR-0747KL</t>
  </si>
  <si>
    <t>ERJ3EKF4702V</t>
  </si>
  <si>
    <t>4E12000336</t>
  </si>
  <si>
    <t>AC0603FR-073K6L</t>
  </si>
  <si>
    <t>4E12000278</t>
  </si>
  <si>
    <t>AC0603FR-0738K3L</t>
  </si>
  <si>
    <t>CR0603FX-3832ELF</t>
  </si>
  <si>
    <t>4E12000147</t>
  </si>
  <si>
    <t>AC0603FR-0711KL</t>
  </si>
  <si>
    <t>AC0603FR-1311KL</t>
  </si>
  <si>
    <t>11KOhm</t>
  </si>
  <si>
    <t>RMCF0603FT30K0</t>
  </si>
  <si>
    <t>4E12000188</t>
  </si>
  <si>
    <t>30KOhm</t>
  </si>
  <si>
    <t>4E12000359</t>
  </si>
  <si>
    <t>AC0603FR-076K2L</t>
  </si>
  <si>
    <t>6.2KOhm</t>
  </si>
  <si>
    <t>BC817-25Q</t>
  </si>
  <si>
    <t>SZBZX84C4V3LT1G</t>
  </si>
  <si>
    <t>4E42000146</t>
  </si>
  <si>
    <t>SS1FH6HM3/H</t>
  </si>
  <si>
    <t>Avg Forward Current(V)</t>
  </si>
  <si>
    <t>0.61V</t>
  </si>
  <si>
    <t>4E42000141</t>
  </si>
  <si>
    <t>SM4F54AHE3-TP</t>
  </si>
  <si>
    <t>4E42000144</t>
  </si>
  <si>
    <t>MMBT2907AQ</t>
  </si>
  <si>
    <t>4E72000068</t>
  </si>
  <si>
    <t>BC817-16Q-7-F</t>
  </si>
  <si>
    <t>4E72000065</t>
  </si>
  <si>
    <t>4E72000069</t>
  </si>
  <si>
    <t>4E12345678</t>
  </si>
  <si>
    <t>KY DDLN31.FY LED</t>
  </si>
  <si>
    <t>3.25V</t>
  </si>
  <si>
    <t>5H6H7H8H</t>
  </si>
  <si>
    <t>SZMM3Z5V1ST1G</t>
  </si>
  <si>
    <t>4E42000132</t>
  </si>
  <si>
    <t>BCP5316QTA</t>
  </si>
  <si>
    <t>BC807-40Q-7-F</t>
  </si>
  <si>
    <t>4E72000053</t>
  </si>
  <si>
    <t>BC846AQ-7-F</t>
  </si>
  <si>
    <t>SS1H10LWH</t>
  </si>
  <si>
    <t>4E42000143</t>
  </si>
  <si>
    <t>0.8V</t>
  </si>
  <si>
    <t>SN74HCS157PW-Q1</t>
  </si>
  <si>
    <t>4E02000049</t>
  </si>
  <si>
    <t>TSSOP-16</t>
  </si>
  <si>
    <t>4E72000063</t>
  </si>
  <si>
    <t>4E72000061</t>
  </si>
  <si>
    <t>2W</t>
  </si>
  <si>
    <t>LA.A67F</t>
  </si>
  <si>
    <t>LED</t>
  </si>
  <si>
    <t>0.03A</t>
  </si>
  <si>
    <t xml:space="preserve">LA.A67F </t>
  </si>
  <si>
    <t>TLD2382-3ET_Symbol</t>
  </si>
  <si>
    <t>PIC16F15213-E/SN_Symbol</t>
  </si>
  <si>
    <t>TFDSO-16</t>
  </si>
  <si>
    <t>SOIC-8</t>
  </si>
  <si>
    <t>Microchip</t>
  </si>
  <si>
    <t>Adjustable</t>
  </si>
  <si>
    <t>37V</t>
  </si>
  <si>
    <t>NCV317BD2TR4G</t>
  </si>
  <si>
    <t>4E32000013</t>
  </si>
  <si>
    <t>TLD2382-3ET</t>
  </si>
  <si>
    <t>PIC</t>
  </si>
  <si>
    <t>32Mhz</t>
  </si>
  <si>
    <t>3.5KB</t>
  </si>
  <si>
    <t>16-Bit</t>
  </si>
  <si>
    <t>LA G6SP.02 LED</t>
  </si>
  <si>
    <t>LA G6SP.02</t>
  </si>
  <si>
    <t>0.14A</t>
  </si>
  <si>
    <t>2.25V</t>
  </si>
  <si>
    <t>2V</t>
  </si>
  <si>
    <t>BC846A-AQ</t>
  </si>
  <si>
    <t>Diotec</t>
  </si>
  <si>
    <t>PIC16F15213T-E/SNVAO</t>
  </si>
  <si>
    <t>4E02000050</t>
  </si>
  <si>
    <t>4E32000034</t>
  </si>
  <si>
    <t>4E72000073</t>
  </si>
  <si>
    <t>FCL_Terminal_1X4</t>
  </si>
  <si>
    <t>Special Design</t>
  </si>
  <si>
    <t>FCL_Cable_Pad_1X4</t>
  </si>
  <si>
    <t>5mm</t>
  </si>
  <si>
    <t>4E02000027</t>
  </si>
  <si>
    <t>Buck-Boost</t>
  </si>
  <si>
    <t>TQFN-EP(24-SW)</t>
  </si>
  <si>
    <t>-</t>
  </si>
  <si>
    <t>Analog Devices</t>
  </si>
  <si>
    <t>MAX20048ATGB/VY+</t>
  </si>
  <si>
    <t>LY G6SP</t>
  </si>
  <si>
    <t>LY.G6SP LED</t>
  </si>
  <si>
    <t>LW.G6SP LED</t>
  </si>
  <si>
    <t>LWG6SP</t>
  </si>
  <si>
    <t>4E52000023</t>
  </si>
  <si>
    <t>CA-DB</t>
  </si>
  <si>
    <t>4E52000024</t>
  </si>
  <si>
    <t>EA-FA</t>
  </si>
  <si>
    <t>3.30V</t>
  </si>
  <si>
    <t>4E52000015</t>
  </si>
  <si>
    <t>AA-AB</t>
  </si>
  <si>
    <t>8E-5F</t>
  </si>
  <si>
    <t>4E52000107</t>
  </si>
  <si>
    <t>IS32LT3152_Symbol</t>
  </si>
  <si>
    <t>ETSSOP-16</t>
  </si>
  <si>
    <t xml:space="preserve"> Lumissil</t>
  </si>
  <si>
    <t>NCV317BD2TR4G_Symboll</t>
  </si>
  <si>
    <t>D2PAK-3_Ftprnt</t>
  </si>
  <si>
    <t>12061C105K4Z4A</t>
  </si>
  <si>
    <t>SOT-26</t>
  </si>
  <si>
    <t>100mA</t>
  </si>
  <si>
    <t>BCR430UW6-7</t>
  </si>
  <si>
    <t>BCR430UW6_Symbol</t>
  </si>
  <si>
    <t>IS32LT3144A_Symbol</t>
  </si>
  <si>
    <t>eTSSOP-16</t>
  </si>
  <si>
    <t>eTSSOP-16_Fprt</t>
  </si>
  <si>
    <t>IS32LT3144A</t>
  </si>
  <si>
    <t>LY G6SP.02</t>
  </si>
  <si>
    <t>8D5F-56</t>
  </si>
  <si>
    <t>IS32LT3152B</t>
  </si>
  <si>
    <t>8E-6F</t>
  </si>
  <si>
    <t>2.5mm</t>
  </si>
  <si>
    <t>MFMP 7238 - 202 - W60</t>
  </si>
  <si>
    <t>CON Male 2Pin 2.5mm</t>
  </si>
  <si>
    <t>Stocko</t>
  </si>
  <si>
    <t>MFMP 7238 - 202 - 060 - 960 - 000 - 00</t>
  </si>
  <si>
    <t>6L8LF-ebxD46ebzB46-8E8G</t>
  </si>
  <si>
    <t>KW DMLQ33.SG</t>
  </si>
  <si>
    <t>KR DMLQ32.23</t>
  </si>
  <si>
    <t>6K8K-46-J3T3</t>
  </si>
  <si>
    <t>4E12000228</t>
  </si>
  <si>
    <t>AC1210FR-07150RL</t>
  </si>
  <si>
    <t>AC1210FR-07200RL</t>
  </si>
  <si>
    <t>4E12000299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</si>
</sst>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\ &quot;V&quot;"/>
    <numFmt numFmtId="165" formatCode="General\ &quot;mA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quotePrefix="1"/>
    <xf numFmtId="0" fontId="0" fillId="0" borderId="0" xfId="0" applyAlignment="1" applyProtection="1">
      <alignment horizontal="center" vertical="center"/>
      <protection locked="0"/>
    </xf>
    <xf numFmtId="9" fontId="0" fillId="0" borderId="0" xfId="0" applyNumberFormat="1" applyAlignment="1">
      <alignment horizontal="left" vertical="center"/>
    </xf>
    <xf numFmtId="0" fontId="0" fillId="2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quotePrefix="1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Protection="1"/>
    <xf numFmtId="0" fontId="0" fillId="0" borderId="0" xfId="0" applyAlignment="1">
      <alignment horizontal="center"/>
    </xf>
    <xf numFmtId="11" fontId="0" fillId="2" borderId="0" xfId="0" applyNumberFormat="1" applyFill="1"/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1" fontId="0" fillId="0" borderId="0" xfId="0" applyNumberFormat="1" applyAlignment="1">
      <alignment horizontal="center" vertical="center"/>
    </xf>
    <xf numFmtId="0" fontId="0" fillId="0" borderId="0" xfId="0" quotePrefix="1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2" borderId="0" xfId="0" applyFill="1" applyProtection="1"/>
    <xf numFmtId="11" fontId="0" fillId="0" borderId="0" xfId="0" quotePrefix="1" applyNumberFormat="1"/>
    <xf numFmtId="0" fontId="0" fillId="0" borderId="0" xfId="0" quotePrefix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quotePrefix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Border="1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Border="1"/>
    <xf numFmtId="0" fontId="0" fillId="0" borderId="0" xfId="0" applyBorder="1"/>
    <xf numFmtId="0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0" fillId="0" borderId="0" xfId="0" quotePrefix="1" applyBorder="1"/>
    <xf numFmtId="0" fontId="0" fillId="0" borderId="0" xfId="0" applyFill="1" applyAlignment="1" applyProtection="1">
      <alignment horizontal="center" vertical="center"/>
      <protection locked="0"/>
    </xf>
    <xf numFmtId="11" fontId="0" fillId="0" borderId="0" xfId="0" applyNumberFormat="1" applyFill="1"/>
    <xf numFmtId="11" fontId="0" fillId="6" borderId="0" xfId="0" applyNumberFormat="1" applyFill="1"/>
    <xf numFmtId="11" fontId="0" fillId="3" borderId="0" xfId="0" applyNumberFormat="1" applyFill="1"/>
    <xf numFmtId="0" fontId="0" fillId="0" borderId="0" xfId="0" quotePrefix="1" applyAlignment="1">
      <alignment horizontal="center"/>
    </xf>
    <xf numFmtId="0" fontId="0" fillId="2" borderId="0" xfId="0" quotePrefix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0" fillId="7" borderId="0" xfId="0" applyFont="1" applyFill="1" applyAlignment="1">
      <alignment horizontal="center"/>
    </xf>
    <xf numFmtId="0" fontId="0" fillId="7" borderId="0" xfId="0" applyFill="1"/>
    <xf numFmtId="0" fontId="0" fillId="6" borderId="0" xfId="0" applyFill="1"/>
    <xf numFmtId="0" fontId="0" fillId="6" borderId="0" xfId="0" quotePrefix="1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quotePrefix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Font="1"/>
    <xf numFmtId="0" fontId="3" fillId="0" borderId="0" xfId="0" applyFont="1"/>
    <xf numFmtId="0" fontId="0" fillId="0" borderId="0" xfId="0" applyFill="1" applyAlignment="1">
      <alignment horizontal="center" vertical="center"/>
    </xf>
    <xf numFmtId="0" fontId="0" fillId="6" borderId="0" xfId="0" applyFill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3" fillId="7" borderId="0" xfId="0" applyFont="1" applyFill="1"/>
    <xf numFmtId="0" fontId="0" fillId="3" borderId="0" xfId="0" applyFill="1" applyProtection="1"/>
    <xf numFmtId="0" fontId="0" fillId="3" borderId="0" xfId="0" applyFill="1" applyAlignment="1" applyProtection="1">
      <alignment horizontal="center" vertical="center"/>
      <protection locked="0"/>
    </xf>
    <xf numFmtId="0" fontId="0" fillId="7" borderId="0" xfId="0" applyFill="1" applyProtection="1"/>
    <xf numFmtId="0" fontId="0" fillId="0" borderId="0" xfId="0" applyFill="1" applyProtection="1"/>
    <xf numFmtId="0" fontId="0" fillId="6" borderId="0" xfId="0" applyFill="1" applyProtection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11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11" fontId="0" fillId="2" borderId="0" xfId="0" applyNumberFormat="1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quotePrefix="1" applyFill="1" applyAlignment="1">
      <alignment horizontal="center" vertical="center"/>
    </xf>
    <xf numFmtId="0" fontId="0" fillId="0" borderId="0" xfId="0" quotePrefix="1" applyNumberForma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left" vertical="center"/>
    </xf>
    <xf numFmtId="11" fontId="3" fillId="0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1" fontId="0" fillId="0" borderId="0" xfId="0" quotePrefix="1" applyNumberFormat="1" applyFont="1" applyAlignment="1">
      <alignment horizontal="center" vertical="center"/>
    </xf>
    <xf numFmtId="0" fontId="0" fillId="0" borderId="0" xfId="0" quotePrefix="1" applyFont="1" applyAlignment="1">
      <alignment horizontal="center" vertical="center"/>
    </xf>
    <xf numFmtId="0" fontId="0" fillId="0" borderId="0" xfId="0" quotePrefix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1" fontId="0" fillId="0" borderId="0" xfId="0" applyNumberFormat="1" applyFont="1" applyAlignment="1">
      <alignment horizontal="center" vertical="center"/>
    </xf>
    <xf numFmtId="9" fontId="0" fillId="0" borderId="0" xfId="0" quotePrefix="1" applyNumberFormat="1" applyFont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 wrapText="1"/>
    </xf>
    <xf numFmtId="0" fontId="0" fillId="0" borderId="0" xfId="0" quotePrefix="1" applyNumberFormat="1" applyFont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 vertical="center"/>
    </xf>
    <xf numFmtId="11" fontId="0" fillId="7" borderId="0" xfId="0" applyNumberFormat="1" applyFill="1"/>
    <xf numFmtId="0" fontId="0" fillId="0" borderId="0" xfId="0" applyFill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11" fontId="3" fillId="0" borderId="0" xfId="0" quotePrefix="1" applyNumberFormat="1" applyFont="1" applyFill="1" applyAlignment="1">
      <alignment horizontal="center" vertical="center"/>
    </xf>
    <xf numFmtId="16" fontId="0" fillId="0" borderId="0" xfId="0" quotePrefix="1" applyNumberForma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quotePrefix="1" applyNumberFormat="1" applyAlignment="1">
      <alignment horizontal="left" vertical="center"/>
    </xf>
    <xf numFmtId="0" fontId="13" fillId="0" borderId="0" xfId="2" applyFont="1" applyFill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4" xfId="0" quotePrefix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11" fontId="0" fillId="0" borderId="0" xfId="0" quotePrefix="1" applyNumberFormat="1" applyBorder="1" applyAlignment="1">
      <alignment horizontal="center" vertical="center"/>
    </xf>
    <xf numFmtId="9" fontId="0" fillId="0" borderId="0" xfId="0" applyNumberFormat="1" applyBorder="1" applyAlignment="1">
      <alignment horizontal="left" vertical="center"/>
    </xf>
    <xf numFmtId="0" fontId="0" fillId="0" borderId="0" xfId="0" quotePrefix="1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/>
    <xf numFmtId="10" fontId="0" fillId="0" borderId="0" xfId="0" quotePrefix="1" applyNumberFormat="1" applyBorder="1" applyAlignment="1">
      <alignment horizontal="center" vertical="center"/>
    </xf>
    <xf numFmtId="11" fontId="0" fillId="0" borderId="0" xfId="0" applyNumberForma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11" fontId="0" fillId="0" borderId="0" xfId="0" applyNumberForma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/>
    </xf>
    <xf numFmtId="11" fontId="0" fillId="0" borderId="0" xfId="0" applyNumberFormat="1" applyFont="1" applyFill="1" applyAlignment="1">
      <alignment horizontal="center" vertical="center"/>
    </xf>
    <xf numFmtId="0" fontId="0" fillId="0" borderId="0" xfId="0" quotePrefix="1" applyFont="1" applyFill="1" applyAlignment="1">
      <alignment horizontal="center" vertical="center"/>
    </xf>
    <xf numFmtId="0" fontId="0" fillId="0" borderId="0" xfId="0" quotePrefix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9" fontId="0" fillId="2" borderId="0" xfId="0" applyNumberFormat="1" applyFill="1" applyAlignment="1">
      <alignment horizontal="center" vertical="center"/>
    </xf>
    <xf numFmtId="0" fontId="6" fillId="0" borderId="0" xfId="0" applyNumberFormat="1" applyFont="1" applyFill="1" applyAlignment="1">
      <alignment horizontal="left" vertical="center"/>
    </xf>
    <xf numFmtId="0" fontId="0" fillId="7" borderId="0" xfId="0" applyFill="1" applyAlignment="1" applyProtection="1">
      <alignment horizontal="center" vertical="center"/>
      <protection locked="0"/>
    </xf>
    <xf numFmtId="0" fontId="3" fillId="0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3" fillId="0" borderId="0" xfId="0" applyFont="1"/>
    <xf numFmtId="9" fontId="0" fillId="0" borderId="0" xfId="0" quotePrefix="1" applyNumberFormat="1" applyAlignment="1">
      <alignment horizontal="center"/>
    </xf>
    <xf numFmtId="9" fontId="0" fillId="7" borderId="0" xfId="0" quotePrefix="1" applyNumberFormat="1" applyFill="1" applyAlignment="1">
      <alignment horizontal="center"/>
    </xf>
    <xf numFmtId="0" fontId="9" fillId="7" borderId="0" xfId="0" applyFont="1" applyFill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0" borderId="0" xfId="0" quotePrefix="1"/>
    <xf numFmtId="0" fontId="0" fillId="2" borderId="0" xfId="0" quotePrefix="1" applyFill="1"/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2" borderId="0" xfId="0" applyNumberForma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NumberFormat="1" applyAlignment="1" applyProtection="1">
      <alignment horizontal="center" vertical="center"/>
      <protection hidden="1"/>
    </xf>
    <xf numFmtId="9" fontId="0" fillId="0" borderId="0" xfId="0" applyNumberFormat="1" applyAlignment="1" applyProtection="1">
      <alignment horizontal="left" vertical="center"/>
      <protection hidden="1"/>
    </xf>
    <xf numFmtId="0" fontId="0" fillId="2" borderId="0" xfId="0" applyFill="1" applyProtection="1">
      <protection locked="0" hidden="1"/>
    </xf>
    <xf numFmtId="0" fontId="0" fillId="0" borderId="0" xfId="0" applyAlignment="1" applyProtection="1">
      <alignment horizontal="left" vertical="center"/>
      <protection locked="0" hidden="1"/>
    </xf>
    <xf numFmtId="0" fontId="0" fillId="0" borderId="0" xfId="0" quotePrefix="1" applyNumberFormat="1" applyAlignment="1" applyProtection="1">
      <alignment horizontal="center" vertical="center"/>
      <protection locked="0" hidden="1"/>
    </xf>
    <xf numFmtId="0" fontId="0" fillId="2" borderId="0" xfId="0" applyFill="1" applyAlignment="1" applyProtection="1">
      <alignment vertical="center"/>
      <protection locked="0" hidden="1"/>
    </xf>
    <xf numFmtId="0" fontId="0" fillId="2" borderId="0" xfId="0" applyFill="1" applyAlignment="1" applyProtection="1">
      <alignment horizontal="left" vertical="center"/>
      <protection locked="0" hidden="1"/>
    </xf>
    <xf numFmtId="0" fontId="0" fillId="0" borderId="0" xfId="0" applyAlignment="1" applyProtection="1">
      <alignment vertical="center"/>
      <protection locked="0" hidden="1"/>
    </xf>
    <xf numFmtId="0" fontId="0" fillId="2" borderId="0" xfId="0" quotePrefix="1" applyNumberFormat="1" applyFill="1" applyAlignment="1" applyProtection="1">
      <alignment horizontal="center" vertical="center"/>
      <protection locked="0" hidden="1"/>
    </xf>
    <xf numFmtId="0" fontId="0" fillId="3" borderId="0" xfId="0" quotePrefix="1" applyNumberFormat="1" applyFill="1" applyAlignment="1" applyProtection="1">
      <alignment horizontal="center" vertical="center"/>
      <protection locked="0" hidden="1"/>
    </xf>
    <xf numFmtId="0" fontId="0" fillId="0" borderId="0" xfId="0" applyProtection="1">
      <protection locked="0" hidden="1"/>
    </xf>
    <xf numFmtId="9" fontId="0" fillId="0" borderId="0" xfId="0" quotePrefix="1" applyNumberFormat="1" applyAlignment="1" applyProtection="1">
      <alignment horizontal="center" vertical="center"/>
      <protection locked="0" hidden="1"/>
    </xf>
    <xf numFmtId="0" fontId="0" fillId="3" borderId="0" xfId="0" applyFill="1" applyProtection="1">
      <protection locked="0" hidden="1"/>
    </xf>
    <xf numFmtId="0" fontId="0" fillId="5" borderId="0" xfId="0" applyFill="1" applyProtection="1">
      <protection locked="0" hidden="1"/>
    </xf>
    <xf numFmtId="0" fontId="0" fillId="0" borderId="0" xfId="0" applyNumberFormat="1" applyAlignment="1" applyProtection="1">
      <alignment horizontal="left" vertical="center"/>
      <protection locked="0" hidden="1"/>
    </xf>
    <xf numFmtId="0" fontId="0" fillId="0" borderId="0" xfId="0" applyNumberFormat="1" applyProtection="1">
      <protection locked="0" hidden="1"/>
    </xf>
    <xf numFmtId="0" fontId="0" fillId="0" borderId="0" xfId="0" applyFill="1" applyProtection="1">
      <protection locked="0" hidden="1"/>
    </xf>
    <xf numFmtId="9" fontId="0" fillId="0" borderId="0" xfId="0" applyNumberFormat="1" applyAlignment="1" applyProtection="1">
      <alignment horizontal="left" vertical="center"/>
      <protection locked="0" hidden="1"/>
    </xf>
    <xf numFmtId="0" fontId="0" fillId="2" borderId="0" xfId="0" quotePrefix="1" applyFill="1" applyProtection="1">
      <protection locked="0" hidden="1"/>
    </xf>
    <xf numFmtId="0" fontId="0" fillId="3" borderId="0" xfId="0" quotePrefix="1" applyFill="1" applyProtection="1">
      <protection locked="0" hidden="1"/>
    </xf>
    <xf numFmtId="0" fontId="0" fillId="0" borderId="0" xfId="0" quotePrefix="1" applyProtection="1">
      <protection locked="0" hidden="1"/>
    </xf>
    <xf numFmtId="11" fontId="0" fillId="0" borderId="0" xfId="0" quotePrefix="1" applyNumberFormat="1" applyProtection="1">
      <protection locked="0" hidden="1"/>
    </xf>
    <xf numFmtId="11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 wrapText="1"/>
      <protection locked="0" hidden="1"/>
    </xf>
    <xf numFmtId="0" fontId="0" fillId="2" borderId="0" xfId="0" applyFill="1" applyAlignment="1" applyProtection="1">
      <alignment horizontal="center" vertical="center" wrapText="1"/>
      <protection locked="0" hidden="1"/>
    </xf>
    <xf numFmtId="9" fontId="0" fillId="0" borderId="0" xfId="0" applyNumberFormat="1" applyAlignment="1" applyProtection="1">
      <alignment horizontal="center" vertical="center" wrapText="1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0" fillId="2" borderId="0" xfId="0" applyFill="1" applyAlignment="1" applyProtection="1">
      <alignment horizontal="center" vertical="center"/>
      <protection locked="0" hidden="1"/>
    </xf>
    <xf numFmtId="0" fontId="0" fillId="0" borderId="0" xfId="0" applyFill="1" applyAlignment="1" applyProtection="1">
      <alignment horizontal="center" vertical="center"/>
      <protection locked="0" hidden="1"/>
    </xf>
    <xf numFmtId="9" fontId="0" fillId="2" borderId="0" xfId="0" applyNumberFormat="1" applyFill="1" applyAlignment="1" applyProtection="1">
      <alignment horizontal="left" vertical="center"/>
      <protection locked="0" hidden="1"/>
    </xf>
    <xf numFmtId="0" fontId="0" fillId="0" borderId="0" xfId="0" applyNumberFormat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NumberFormat="1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1" fontId="0" fillId="3" borderId="0" xfId="0" applyNumberForma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quotePrefix="1" applyNumberFormat="1" applyAlignment="1" applyProtection="1">
      <alignment horizontal="center" vertical="center"/>
      <protection locked="0"/>
    </xf>
    <xf numFmtId="9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2" borderId="0" xfId="0" quotePrefix="1" applyFill="1" applyProtection="1">
      <protection hidden="1"/>
    </xf>
    <xf numFmtId="10" fontId="0" fillId="0" borderId="0" xfId="0" quotePrefix="1" applyNumberFormat="1" applyAlignment="1">
      <alignment horizontal="center" vertical="center"/>
    </xf>
    <xf numFmtId="0" fontId="0" fillId="0" borderId="0" xfId="0" applyNumberFormat="1"/>
    <xf numFmtId="0" fontId="0" fillId="0" borderId="0" xfId="0" quotePrefix="1" applyNumberFormat="1" applyFill="1" applyAlignment="1">
      <alignment horizontal="center" vertical="center"/>
    </xf>
    <xf numFmtId="0" fontId="0" fillId="0" borderId="0" xfId="0" quotePrefix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11" fontId="0" fillId="0" borderId="0" xfId="0" quotePrefix="1" applyNumberFormat="1" applyAlignment="1">
      <alignment horizontal="left" vertical="center"/>
    </xf>
    <xf numFmtId="0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NumberFormat="1" applyFont="1"/>
    <xf numFmtId="0" fontId="6" fillId="0" borderId="0" xfId="0" applyNumberFormat="1" applyFont="1" applyFill="1" applyAlignment="1">
      <alignment horizontal="center" vertical="center"/>
    </xf>
    <xf numFmtId="11" fontId="2" fillId="0" borderId="0" xfId="0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1" fontId="14" fillId="0" borderId="0" xfId="0" applyNumberFormat="1" applyFont="1" applyFill="1" applyBorder="1" applyAlignment="1">
      <alignment horizontal="center" vertical="center"/>
    </xf>
  </cellXfs>
  <cellStyles count="3">
    <cellStyle name="Köprü" xfId="1" builtinId="8"/>
    <cellStyle name="Normal" xfId="0" builtinId="0"/>
    <cellStyle name="Nötr" xfId="2" builtinId="28"/>
  </cellStyles>
  <dxfs count="423"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13" formatCode="0%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3" formatCode="0%"/>
      <alignment horizontal="center" vertical="center" textRotation="0" indent="0" justifyLastLine="0" shrinkToFit="0" readingOrder="0"/>
    </dxf>
    <dxf>
      <numFmt numFmtId="13" formatCode="0%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3" formatCode="0%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General\ &quot;mA&quot;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3" formatCode="0%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numFmt numFmtId="0" formatCode="General"/>
    </dxf>
    <dxf>
      <alignment horizontal="left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</font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</font>
      <numFmt numFmtId="15" formatCode="0.00E+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</font>
      <numFmt numFmtId="15" formatCode="0.00E+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numFmt numFmtId="0" formatCode="General"/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numFmt numFmtId="0" formatCode="General"/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numFmt numFmtId="13" formatCode="0%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protection locked="1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5" formatCode="0.00E+00"/>
    </dxf>
    <dxf>
      <font>
        <b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protection locked="1" hidden="1"/>
    </dxf>
    <dxf>
      <numFmt numFmtId="13" formatCode="0%"/>
      <alignment horizontal="left" vertical="center" textRotation="0" wrapText="0" indent="0" justifyLastLine="0" shrinkToFit="0" readingOrder="0"/>
      <protection locked="1" hidden="1"/>
    </dxf>
    <dxf>
      <alignment horizontal="left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numFmt numFmtId="13" formatCode="0%"/>
      <alignment horizontal="center" vertical="center" textRotation="0" wrapText="1" indent="0" justifyLastLine="0" shrinkToFit="0" readingOrder="0"/>
      <protection locked="0" hidden="1"/>
    </dxf>
    <dxf>
      <numFmt numFmtId="13" formatCode="0%"/>
      <alignment horizontal="left" vertical="center" textRotation="0" wrapText="0" indent="0" justifyLastLine="0" shrinkToFit="0" readingOrder="0"/>
      <protection locked="0" hidden="1"/>
    </dxf>
    <dxf>
      <numFmt numFmtId="13" formatCode="0%"/>
      <alignment horizontal="left" vertical="center" textRotation="0" wrapText="0" indent="0" justifyLastLine="0" shrinkToFit="0" readingOrder="0"/>
      <protection locked="0" hidden="1"/>
    </dxf>
    <dxf>
      <numFmt numFmtId="0" formatCode="General"/>
      <alignment horizontal="center" vertical="center" textRotation="0" wrapText="0" indent="0" justifyLastLine="0" shrinkToFit="0" readingOrder="0"/>
      <protection locked="0" hidden="1"/>
    </dxf>
    <dxf>
      <alignment horizontal="left" vertical="center" textRotation="0" wrapText="0" indent="0" justifyLastLine="0" shrinkToFit="0" readingOrder="0"/>
      <protection locked="0" hidden="1"/>
    </dxf>
    <dxf>
      <alignment horizontal="left" vertical="center" textRotation="0" wrapText="0" indent="0" justifyLastLine="0" shrinkToFit="0" readingOrder="0"/>
      <protection locked="0" hidden="1"/>
    </dxf>
    <dxf>
      <numFmt numFmtId="13" formatCode="0%"/>
      <alignment horizontal="left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1"/>
    </dxf>
    <dxf>
      <protection locked="1" hidden="1"/>
    </dxf>
    <dxf>
      <protection locked="1" hidden="1"/>
    </dxf>
    <dxf>
      <protection locked="1" hidden="1"/>
    </dxf>
    <dxf>
      <numFmt numFmtId="166" formatCode="00000"/>
    </dxf>
    <dxf>
      <numFmt numFmtId="167" formatCode="[$-41F]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5" name="RatingList" displayName="RatingList" ref="A2:A4" totalsRowShown="0">
  <autoFilter ref="A2:A4"/>
  <tableColumns count="1">
    <tableColumn id="1" name="All Compon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6" name="ProcessList" displayName="ProcessList" ref="C2:C5" totalsRowShown="0">
  <autoFilter ref="C2:C5"/>
  <tableColumns count="1">
    <tableColumn id="1" name="All Compon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4" name="SymbolsMicrocontrollers" displayName="SymbolsMicrocontrollers" ref="O2:O4" totalsRowShown="0" headerRowDxfId="422" dataDxfId="421">
  <autoFilter ref="O2:O4"/>
  <tableColumns count="1">
    <tableColumn id="1" name="Microcontrollers" dataDxfId="4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3" name="SymbolsCMCs" displayName="SymbolsCMCs" ref="E2:E3" totalsRowShown="0" headerRowDxfId="419">
  <autoFilter ref="E2:E3"/>
  <tableColumns count="1">
    <tableColumn id="1" name="CMC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6" name="SymbolsPADs" displayName="SymbolsPADs" ref="S2:S3" totalsRowShown="0" headerRowDxfId="418" dataDxfId="417">
  <autoFilter ref="S2:S3"/>
  <tableColumns count="1">
    <tableColumn id="1" name="PADs" dataDxfId="4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5" name="SymbolsTerminals" displayName="SymbolsTerminals" ref="R2:R3" totalsRowShown="0" headerRowDxfId="415" dataDxfId="414">
  <autoFilter ref="R2:R3"/>
  <tableColumns count="1">
    <tableColumn id="1" name="Terminals" dataDxfId="4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4" name="SymbolsConnectorsPinHeaders" displayName="SymbolsConnectorsPinHeaders" ref="Q2:Q4" totalsRowShown="0" headerRowDxfId="412" dataDxfId="411">
  <autoFilter ref="Q2:Q4"/>
  <tableColumns count="1">
    <tableColumn id="1" name="Connectors &amp; Pin Headers" dataDxfId="4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3" name="SymbolsOtherICs" displayName="SymbolsOtherICs" ref="P2:P4" totalsRowShown="0" headerRowDxfId="409" dataDxfId="408">
  <autoFilter ref="P2:P4"/>
  <tableColumns count="1">
    <tableColumn id="1" name="Other ICs" dataDxfId="40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1" name="SymbolsLEDDrivers" displayName="SymbolsLEDDrivers" ref="N2:N8" totalsRowShown="0" headerRowDxfId="406" dataDxfId="405">
  <autoFilter ref="N2:N8"/>
  <tableColumns count="1">
    <tableColumn id="1" name="LED Drivers" dataDxfId="4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60" name="SymbolsLVRs" displayName="SymbolsLVRs" ref="M2:M3" totalsRowShown="0" headerRowDxfId="403">
  <autoFilter ref="M2:M3"/>
  <tableColumns count="1">
    <tableColumn id="1" name="Linear Voltage Regulato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59" name="SymbolsDCDCConverters" displayName="SymbolsDCDCConverters" ref="L2:L3" totalsRowShown="0" headerRowDxfId="402">
  <autoFilter ref="L2:L3"/>
  <tableColumns count="1">
    <tableColumn id="1" name="DC-DC Converte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58" name="SymbolsMosfets" displayName="SymbolsMosfets" ref="K2:K3" insertRow="1" totalsRowShown="0" headerRowDxfId="401">
  <autoFilter ref="K2:K3"/>
  <tableColumns count="1">
    <tableColumn id="1" name="Mosfe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57" name="SymbolsTransistors" displayName="SymbolsTransistors" ref="J2:J4" totalsRowShown="0" headerRowDxfId="400">
  <autoFilter ref="J2:J4"/>
  <tableColumns count="1">
    <tableColumn id="1" name="Transisto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36" name="SymbolsLEDS" displayName="SymbolsLEDS" ref="I2:I3" totalsRowShown="0" headerRowDxfId="399">
  <autoFilter ref="I2:I3"/>
  <tableColumns count="1">
    <tableColumn id="1" name="LED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35" name="SymbolsPTCs" displayName="SymbolsPTCs" ref="H2:H3" insertRow="1" totalsRowShown="0" headerRowDxfId="398">
  <autoFilter ref="H2:H3"/>
  <tableColumns count="1">
    <tableColumn id="1" name="PTC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34" name="SymbolsNTCs" displayName="SymbolsNTCs" ref="G2:G3" insertRow="1" totalsRowShown="0" headerRowDxfId="397">
  <autoFilter ref="G2:G3"/>
  <tableColumns count="1">
    <tableColumn id="1" name="NTC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32" name="SymbolsDiodes" displayName="SymbolsDiodes" ref="F2:F19" totalsRowShown="0" headerRowDxfId="396" dataDxfId="395">
  <autoFilter ref="F2:F19"/>
  <tableColumns count="1">
    <tableColumn id="1" name="Diodes" dataDxfId="39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31" name="SymbolsFerriteBeads" displayName="SymbolsFerriteBeads" ref="D2:D4" totalsRowShown="0" headerRowDxfId="393">
  <autoFilter ref="D2:D4"/>
  <tableColumns count="1">
    <tableColumn id="1" name="Ferrite Bead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30" name="SymbolsInductros" displayName="SymbolsInductros" ref="C2:C3" totalsRowShown="0" headerRowDxfId="392">
  <autoFilter ref="C2:C3"/>
  <tableColumns count="1">
    <tableColumn id="1" name="Inductor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9" name="SymbolsCapacitor" displayName="SymbolsCapacitor" ref="B2:B4" totalsRowShown="0" headerRowDxfId="391">
  <autoFilter ref="B2:B4"/>
  <tableColumns count="1">
    <tableColumn id="1" name="Capacitor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4" name="SymbolsResistor" displayName="SymbolsResistor" ref="A2:A3" totalsRowShown="0" headerRowDxfId="390">
  <autoFilter ref="A2:A3"/>
  <tableColumns count="1">
    <tableColumn id="1" name="Resistor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39" name="FootprintsResistors" displayName="FootprintsResistors" ref="A2:A11" totalsRowShown="0" headerRowDxfId="389">
  <autoFilter ref="A2:A11"/>
  <tableColumns count="1">
    <tableColumn id="1" name="Resistor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40" name="FootprintsCapacitors" displayName="FootprintsCapacitors" ref="B2:B8" totalsRowShown="0" headerRowDxfId="388">
  <autoFilter ref="B2:B8"/>
  <tableColumns count="1">
    <tableColumn id="1" name="Capacitor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41" name="FootprintsInductros" displayName="FootprintsInductros" ref="C2:C5" totalsRowShown="0" headerRowDxfId="387">
  <autoFilter ref="C2:C5"/>
  <tableColumns count="1">
    <tableColumn id="1" name="Inductor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42" name="FootprintsFerriteBeads" displayName="FootprintsFerriteBeads" ref="D2:D8" totalsRowShown="0" headerRowDxfId="386">
  <autoFilter ref="D2:D8"/>
  <tableColumns count="1">
    <tableColumn id="1" name="Ferrite Bead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43" name="FootprintsDiodes" displayName="FootprintsDiodes" ref="F2:F32" totalsRowShown="0" headerRowDxfId="385" dataDxfId="384">
  <autoFilter ref="F2:F32"/>
  <tableColumns count="1">
    <tableColumn id="1" name="Diodes" dataDxfId="38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44" name="FootprintsNTCs" displayName="FootprintsNTCs" ref="G2:G3" totalsRowShown="0" headerRowDxfId="382">
  <autoFilter ref="G2:G3"/>
  <tableColumns count="1">
    <tableColumn id="1" name="NTC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45" name="FootprintsPTCs" displayName="FootprintsPTCs" ref="H2:H3" insertRow="1" totalsRowShown="0" headerRowDxfId="381">
  <autoFilter ref="H2:H3"/>
  <tableColumns count="1">
    <tableColumn id="1" name="PTC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46" name="FootprintsLEDs" displayName="FootprintsLEDs" ref="I2:I9" totalsRowShown="0" headerRowDxfId="380">
  <autoFilter ref="I2:I9"/>
  <tableColumns count="1">
    <tableColumn id="1" name="LED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27" name="FootprintsTransistors" displayName="FootprintsTransistors" ref="J2:J8" totalsRowShown="0" headerRowDxfId="379">
  <autoFilter ref="J2:J8"/>
  <tableColumns count="1">
    <tableColumn id="1" name="Transistor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28" name="FootprintsMosfets" displayName="FootprintsMosfets" ref="K2:K6" totalsRowShown="0" headerRowDxfId="378" dataDxfId="377">
  <autoFilter ref="K2:K6"/>
  <tableColumns count="1">
    <tableColumn id="1" name="Mosfets" dataDxfId="37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3" name="FootprintsDCDCConverters" displayName="FootprintsDCDCConverters" ref="L2:L4" totalsRowShown="0" headerRowDxfId="375">
  <autoFilter ref="L2:L4"/>
  <tableColumns count="1">
    <tableColumn id="1" name="DC-DC Converter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7" name="FootprintsLVRs" displayName="FootprintsLVRs" ref="M2:M4" totalsRowShown="0" headerRowDxfId="374">
  <autoFilter ref="M2:M4"/>
  <tableColumns count="1">
    <tableColumn id="1" name="Linear Voltage Regulator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8" name="FootprintsLEDDrivers" displayName="FootprintsLEDDrivers" ref="N2:N9" totalsRowShown="0" headerRowDxfId="373" dataDxfId="372">
  <autoFilter ref="N2:N9"/>
  <tableColumns count="1">
    <tableColumn id="1" name="LED Drivers" dataDxfId="37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67" name="FootprintsOtherICs" displayName="FootprintsOtherICs" ref="P2:P6" totalsRowShown="0" headerRowDxfId="370" dataDxfId="369">
  <autoFilter ref="P2:P6"/>
  <tableColumns count="1">
    <tableColumn id="1" name="Other ICs" dataDxfId="36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68" name="FootprintsConnectorsPinHeaders" displayName="FootprintsConnectorsPinHeaders" ref="Q2:Q3" totalsRowShown="0" headerRowDxfId="367" dataDxfId="366">
  <autoFilter ref="Q2:Q3"/>
  <tableColumns count="1">
    <tableColumn id="1" name="Connectors &amp; Pin Headers" dataDxfId="36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69" name="FootprintsTerminals" displayName="FootprintsTerminals" ref="R2:R3" totalsRowShown="0" headerRowDxfId="364" dataDxfId="363">
  <autoFilter ref="R2:R3"/>
  <tableColumns count="1">
    <tableColumn id="1" name="Terminals" dataDxfId="36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70" name="FootprintsPADs" displayName="FootprintsPADs" ref="S2:S3" totalsRowShown="0" headerRowDxfId="361" dataDxfId="360">
  <autoFilter ref="S2:S3"/>
  <tableColumns count="1">
    <tableColumn id="1" name="PADs" dataDxfId="35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8" name="FootprintsCMCs" displayName="FootprintsCMCs" ref="E2:E3" totalsRowShown="0" headerRowDxfId="358">
  <autoFilter ref="E2:E3"/>
  <tableColumns count="1">
    <tableColumn id="1" name="CMC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136" name="FootprintsMicrocontrollers" displayName="FootprintsMicrocontrollers" ref="O2:O4" totalsRowShown="0" headerRowDxfId="357" dataDxfId="356">
  <autoFilter ref="O2:O4"/>
  <tableColumns count="1">
    <tableColumn id="1" name="Microcontrollers" dataDxfId="35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7" name="ManufacturersResistors" displayName="ManufacturersResistors" ref="A2:A21" totalsRowShown="0" headerRowDxfId="354" dataDxfId="353">
  <autoFilter ref="A2:A21"/>
  <tableColumns count="1">
    <tableColumn id="1" name="Resistors" dataDxfId="35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8" name="ManufacturersCapacitors" displayName="ManufacturersCapacitors" ref="B2:B10" totalsRowShown="0" headerRowDxfId="351" dataDxfId="350">
  <autoFilter ref="B2:B10"/>
  <tableColumns count="1">
    <tableColumn id="1" name="Capacitors" dataDxfId="349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9" name="ManufacturersInductors" displayName="ManufacturersInductors" ref="C2:C5" totalsRowShown="0" headerRowDxfId="348">
  <autoFilter ref="C2:C5"/>
  <tableColumns count="1">
    <tableColumn id="1" name="Inductor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50" name="ManufacturersFerriteBeads" displayName="ManufacturersFerriteBeads" ref="D2:D5" totalsRowShown="0" headerRowDxfId="347">
  <autoFilter ref="D2:D5"/>
  <tableColumns count="1">
    <tableColumn id="1" name="Ferrite Bead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51" name="ManufacturersDiodes" displayName="ManufacturersDiodes" ref="F2:F16" totalsRowShown="0" headerRowDxfId="346">
  <tableColumns count="1">
    <tableColumn id="1" name="Diodes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52" name="ManufacturersNTCs" displayName="ManufacturersNTCs" ref="G2:G3" totalsRowShown="0" headerRowDxfId="345">
  <autoFilter ref="G2:G3"/>
  <tableColumns count="1">
    <tableColumn id="1" name="NTC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53" name="ManufacturersPTCs" displayName="ManufacturersPTCs" ref="H2:H3" insertRow="1" totalsRowShown="0" headerRowDxfId="344">
  <autoFilter ref="H2:H3"/>
  <tableColumns count="1">
    <tableColumn id="1" name="PTCs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54" name="ManufacturersLEDs" displayName="ManufacturersLEDs" ref="I2:I5" totalsRowShown="0" headerRowDxfId="343">
  <autoFilter ref="I2:I5"/>
  <tableColumns count="1">
    <tableColumn id="1" name="LED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21" name="ManufacturersTransistors" displayName="ManufacturersTransistors" ref="J2:J7" totalsRowShown="0" headerRowDxfId="342">
  <autoFilter ref="J2:J7"/>
  <tableColumns count="1">
    <tableColumn id="1" name="Transistor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22" name="ManufacturersMosfets" displayName="ManufacturersMosfets" ref="K2:K6" totalsRowShown="0" headerRowDxfId="341">
  <autoFilter ref="K2:K6"/>
  <tableColumns count="1">
    <tableColumn id="1" name="Mosfets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23" name="ManufacturersDCDCConverters" displayName="ManufacturersDCDCConverters" ref="L2:L4" totalsRowShown="0" headerRowDxfId="340">
  <autoFilter ref="L2:L4"/>
  <tableColumns count="1">
    <tableColumn id="1" name="DC-DC Converters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25" name="ManufacturersLVRs" displayName="ManufacturersLVRs" ref="M2:M3" totalsRowShown="0" headerRowDxfId="339">
  <autoFilter ref="M2:M3"/>
  <tableColumns count="1">
    <tableColumn id="1" name="Linear Voltage Regulator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26" name="ManufacturersLEDDrivers" displayName="ManufacturersLEDDrivers" ref="N2:N6" totalsRowShown="0" headerRowDxfId="338" dataDxfId="337">
  <autoFilter ref="N2:N6"/>
  <tableColumns count="1">
    <tableColumn id="1" name="LED Drivers" dataDxfId="33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71" name="ManufacturersOtherICs" displayName="ManufacturersOtherICs" ref="P2:P4" totalsRowShown="0" headerRowDxfId="335" dataDxfId="334">
  <autoFilter ref="P2:P4"/>
  <tableColumns count="1">
    <tableColumn id="1" name="Other ICs" dataDxfId="33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72" name="ManufacturersConnectorsPinHeaders" displayName="ManufacturersConnectorsPinHeaders" ref="Q2:Q4" totalsRowShown="0" headerRowDxfId="332" dataDxfId="331">
  <autoFilter ref="Q2:Q4"/>
  <tableColumns count="1">
    <tableColumn id="1" name="Connectors &amp; Pin Headers" dataDxfId="33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73" name="ManufacturersTerminals" displayName="ManufacturersTerminals" ref="R2:R3" totalsRowShown="0" headerRowDxfId="329" dataDxfId="328">
  <autoFilter ref="R2:R3"/>
  <tableColumns count="1">
    <tableColumn id="1" name="Terminals" dataDxfId="327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74" name="ManufacturersPCBs" displayName="ManufacturersPCBs" ref="S2:S3" totalsRowShown="0" headerRowDxfId="326" dataDxfId="325">
  <autoFilter ref="S2:S3"/>
  <tableColumns count="1">
    <tableColumn id="1" name="PCBs" dataDxfId="32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12" name="ManufacturersCMCs" displayName="ManufacturersCMCs" ref="E2:E5" totalsRowShown="0" headerRowDxfId="323">
  <autoFilter ref="E2:E5"/>
  <tableColumns count="1">
    <tableColumn id="1" name="CMC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137" name="ManufacturersMicrocontrollers" displayName="ManufacturersMicrocontrollers" ref="O2:O4" totalsRowShown="0" headerRowDxfId="322" dataDxfId="321">
  <autoFilter ref="O2:O4"/>
  <tableColumns count="1">
    <tableColumn id="1" name="Microcontrollers" dataDxfId="320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1" name="Resistors" displayName="Resistors" ref="A1:O213" totalsRowShown="0" headerRowDxfId="317" dataDxfId="316">
  <autoFilter ref="A1:O213"/>
  <sortState ref="A2:O202">
    <sortCondition ref="A1:A202"/>
  </sortState>
  <tableColumns count="15">
    <tableColumn id="1" name="ID" dataDxfId="315"/>
    <tableColumn id="7" name="FEKA NO" dataDxfId="314"/>
    <tableColumn id="10" name="Category" dataDxfId="313">
      <calculatedColumnFormula>"RES"</calculatedColumnFormula>
    </tableColumn>
    <tableColumn id="13" name="Description" dataDxfId="312">
      <calculatedColumnFormula>CONCATENATE(Resistors[[#This Row],[Category]]," ",Resistors[[#This Row],[Resistance(Ohm)]]," ",Resistors[[#This Row],[Power(W)]]," ",Resistors[[#This Row],[Tolerance(%)]]," ",SUBSTITUTE(Resistors[[#This Row],[Footprint]], "RES-", "")," ",Resistors[[#This Row],[Rating]])</calculatedColumnFormula>
    </tableColumn>
    <tableColumn id="2" name="Resistance(Ohm)" dataDxfId="311"/>
    <tableColumn id="3" name="Power(W)" dataDxfId="310"/>
    <tableColumn id="4" name="Tolerance(%)" dataDxfId="309"/>
    <tableColumn id="14" name="Footprint" dataDxfId="308"/>
    <tableColumn id="5" name="Part Number" dataDxfId="307"/>
    <tableColumn id="9" name="Manufacturer" dataDxfId="306"/>
    <tableColumn id="8" name="Rating" dataDxfId="305"/>
    <tableColumn id="6" name="Process" dataDxfId="304"/>
    <tableColumn id="12" name="Library Ref" dataDxfId="303"/>
    <tableColumn id="11" name="Footprint Ref" dataDxfId="302">
      <calculatedColumnFormula>Resistors[[#This Row],[Footprint]]</calculatedColumnFormula>
    </tableColumn>
    <tableColumn id="15" name="Sütun1" dataDxfId="301"/>
  </tableColumns>
  <tableStyleInfo name="TableStyleLight21" showFirstColumn="1" showLastColumn="0" showRowStripes="1" showColumnStripes="0"/>
</table>
</file>

<file path=xl/tables/table61.xml><?xml version="1.0" encoding="utf-8"?>
<table xmlns="http://schemas.openxmlformats.org/spreadsheetml/2006/main" id="3" name="Capacitors" displayName="Capacitors" ref="A1:P311" totalsRowShown="0" headerRowDxfId="300">
  <autoFilter ref="A1:P311"/>
  <tableColumns count="16">
    <tableColumn id="1" name="ID" dataDxfId="299">
      <calculatedColumnFormula>ROW()-1</calculatedColumnFormula>
    </tableColumn>
    <tableColumn id="7" name="FEKA NO" dataDxfId="298"/>
    <tableColumn id="10" name="Category" dataDxfId="297"/>
    <tableColumn id="11" name="Description" dataDxfId="296">
      <calculatedColumnFormula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calculatedColumnFormula>
    </tableColumn>
    <tableColumn id="2" name="Capacitance(F)"/>
    <tableColumn id="3" name="Voltage(V)"/>
    <tableColumn id="4" name="Tolerance(%)" dataDxfId="295"/>
    <tableColumn id="15" name="Temperature Coefficient" dataDxfId="294"/>
    <tableColumn id="16" name="Failure Mode" dataDxfId="293"/>
    <tableColumn id="14" name="Footprint" dataDxfId="292"/>
    <tableColumn id="5" name="Part Number"/>
    <tableColumn id="9" name="Manufacturer"/>
    <tableColumn id="8" name="Rating" dataDxfId="291"/>
    <tableColumn id="6" name="Process" dataDxfId="290"/>
    <tableColumn id="12" name="Library Ref"/>
    <tableColumn id="13" name="Footprint Ref" dataDxfId="289"/>
  </tableColumns>
  <tableStyleInfo name="TableStyleLight21" showFirstColumn="0" showLastColumn="0" showRowStripes="1" showColumnStripes="0"/>
</table>
</file>

<file path=xl/tables/table62.xml><?xml version="1.0" encoding="utf-8"?>
<table xmlns="http://schemas.openxmlformats.org/spreadsheetml/2006/main" id="5" name="Inductors" displayName="Inductors" ref="A1:O5" totalsRowShown="0">
  <autoFilter ref="A1:O5"/>
  <tableColumns count="15">
    <tableColumn id="1" name="ID" dataDxfId="288">
      <calculatedColumnFormula>ROW()-1</calculatedColumnFormula>
    </tableColumn>
    <tableColumn id="14" name="FEKA NO" dataDxfId="287"/>
    <tableColumn id="10" name="Category" dataDxfId="286">
      <calculatedColumnFormula>"IND"</calculatedColumnFormula>
    </tableColumn>
    <tableColumn id="11" name="Description" dataDxfId="285">
      <calculatedColumnFormula>CONCATENATE(Inductors[[#This Row],[Category]]," ",Inductors[[#This Row],[Inductance(H)]]," ",Inductors[[#This Row],[Irms Current(A)]]," ",Inductors[[#This Row],[Tolerance(%)]]," ",Inductors[[#This Row],[Max DCR(Ohm)]]," ",SUBSTITUTE(Inductors[[#This Row],[Footprint]], "IND-", "")," ",Inductors[[#This Row],[Rating]])</calculatedColumnFormula>
    </tableColumn>
    <tableColumn id="2" name="Inductance(H)" dataDxfId="284"/>
    <tableColumn id="3" name="Irms Current(A)" dataDxfId="283"/>
    <tableColumn id="4" name="Tolerance(%)" dataDxfId="282"/>
    <tableColumn id="15" name="Max DCR(Ohm)" dataDxfId="281"/>
    <tableColumn id="7" name="Footprint" dataDxfId="280"/>
    <tableColumn id="5" name="Part Number" dataDxfId="279"/>
    <tableColumn id="9" name="Manufacturer" dataDxfId="278"/>
    <tableColumn id="8" name="Rating" dataDxfId="277"/>
    <tableColumn id="6" name="Process" dataDxfId="276"/>
    <tableColumn id="12" name="Library Ref" dataDxfId="275"/>
    <tableColumn id="13" name="Footprint Ref" dataDxfId="274">
      <calculatedColumnFormula>Inductors[[#This Row],[Footprint]]</calculatedColumnFormula>
    </tableColumn>
  </tableColumns>
  <tableStyleInfo name="TableStyleLight21" showFirstColumn="0" showLastColumn="0" showRowStripes="1" showColumnStripes="0"/>
</table>
</file>

<file path=xl/tables/table63.xml><?xml version="1.0" encoding="utf-8"?>
<table xmlns="http://schemas.openxmlformats.org/spreadsheetml/2006/main" id="6" name="FerriteBeads" displayName="FerriteBeads" ref="A1:N17" totalsRowShown="0" dataDxfId="273">
  <autoFilter ref="A1:N17"/>
  <tableColumns count="14">
    <tableColumn id="1" name="ID" dataDxfId="272">
      <calculatedColumnFormula>ROW()-1</calculatedColumnFormula>
    </tableColumn>
    <tableColumn id="14" name="FEKA NO" dataDxfId="271"/>
    <tableColumn id="10" name="Category" dataDxfId="270">
      <calculatedColumnFormula>"FB"</calculatedColumnFormula>
    </tableColumn>
    <tableColumn id="11" name="Description" dataDxfId="269">
      <calculatedColumnFormula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calculatedColumnFormula>
    </tableColumn>
    <tableColumn id="2" name="Impedance(Ohm)@Frequency(Hz)" dataDxfId="268"/>
    <tableColumn id="3" name="Max Rated Current(A)" dataDxfId="267"/>
    <tableColumn id="4" name="Max DCR(Ohm)" dataDxfId="266"/>
    <tableColumn id="15" name="Footprint" dataDxfId="265"/>
    <tableColumn id="5" name="Part Number" dataDxfId="264"/>
    <tableColumn id="9" name="Manufacturer" dataDxfId="263"/>
    <tableColumn id="8" name="Rating" dataDxfId="262"/>
    <tableColumn id="6" name="Process" dataDxfId="261"/>
    <tableColumn id="12" name="Library Ref" dataDxfId="260"/>
    <tableColumn id="13" name="Footprint Ref" dataDxfId="259">
      <calculatedColumnFormula>FerriteBeads[[#This Row],[Footprint]]</calculatedColumnFormula>
    </tableColumn>
  </tableColumns>
  <tableStyleInfo name="TableStyleLight21" showFirstColumn="0" showLastColumn="0" showRowStripes="1" showColumnStripes="0"/>
</table>
</file>

<file path=xl/tables/table64.xml><?xml version="1.0" encoding="utf-8"?>
<table xmlns="http://schemas.openxmlformats.org/spreadsheetml/2006/main" id="4" name="FerriteBeads5" displayName="FerriteBeads5" ref="A1:O4" totalsRowShown="0" dataDxfId="258">
  <autoFilter ref="A1:O4"/>
  <tableColumns count="15">
    <tableColumn id="1" name="ID" dataDxfId="257">
      <calculatedColumnFormula>ROW()-1</calculatedColumnFormula>
    </tableColumn>
    <tableColumn id="14" name="FEKA NO" dataDxfId="256"/>
    <tableColumn id="10" name="Category" dataDxfId="255">
      <calculatedColumnFormula>"CMC"</calculatedColumnFormula>
    </tableColumn>
    <tableColumn id="11" name="Description" dataDxfId="254">
      <calculatedColumnFormula>CONCATENATE(FerriteBeads5[[#This Row],[Category]]," ",FerriteBeads5[[#This Row],[Inductance(H)@Frequency(Hz)]]," ",FerriteBeads5[[#This Row],[Impedance(Ohm)@Frequency(Hz)]]," ",FerriteBeads5[[#This Row],[Max Rated Current(A)]]," ",SUBSTITUTE(FerriteBeads5[[#This Row],[Footprint]], "FB-", "")," ",FerriteBeads5[[#This Row],[Rating]])</calculatedColumnFormula>
    </tableColumn>
    <tableColumn id="2" name="Inductance(H)@Frequency(Hz)" dataDxfId="253"/>
    <tableColumn id="3" name="Impedance(Ohm)@Frequency(Hz)" dataDxfId="252"/>
    <tableColumn id="4" name="Max Rated Current(A)" dataDxfId="251"/>
    <tableColumn id="7" name="Max DCR(Ohm)" dataDxfId="250"/>
    <tableColumn id="15" name="Footprint" dataDxfId="249"/>
    <tableColumn id="5" name="Part Number" dataDxfId="248"/>
    <tableColumn id="9" name="Manufacturer" dataDxfId="247"/>
    <tableColumn id="8" name="Rating" dataDxfId="246"/>
    <tableColumn id="6" name="Process" dataDxfId="245"/>
    <tableColumn id="12" name="Library Ref" dataDxfId="244"/>
    <tableColumn id="13" name="Footprint Ref" dataDxfId="243">
      <calculatedColumnFormula>FerriteBeads5[[#This Row],[Footprint]]</calculatedColumnFormula>
    </tableColumn>
  </tableColumns>
  <tableStyleInfo name="TableStyleLight21" showFirstColumn="0" showLastColumn="0" showRowStripes="1" showColumnStripes="0"/>
</table>
</file>

<file path=xl/tables/table65.xml><?xml version="1.0" encoding="utf-8"?>
<table xmlns="http://schemas.openxmlformats.org/spreadsheetml/2006/main" id="79" name="GenericDiodes80" displayName="GenericDiodes80" ref="A1:O26" totalsRowShown="0" headerRowDxfId="242" dataDxfId="241">
  <autoFilter ref="A1:O26"/>
  <tableColumns count="15">
    <tableColumn id="1" name="ID" dataDxfId="240"/>
    <tableColumn id="4" name="FEKA NO" dataDxfId="239"/>
    <tableColumn id="10" name="Category" dataDxfId="238">
      <calculatedColumnFormula>"DIO-REC"</calculatedColumnFormula>
    </tableColumn>
    <tableColumn id="2" name="Description" dataDxfId="237">
      <calculatedColumnFormula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calculatedColumnFormula>
    </tableColumn>
    <tableColumn id="3" name="Max Peak Reverse Voltage(V)" dataDxfId="236"/>
    <tableColumn id="14" name="Max Forward Voltage(V)" dataDxfId="235"/>
    <tableColumn id="5" name="Max Forward Current(A)" dataDxfId="234"/>
    <tableColumn id="8" name="Footprint" dataDxfId="233"/>
    <tableColumn id="6" name="Part Number" dataDxfId="232"/>
    <tableColumn id="11" name="Manufacturer" dataDxfId="231"/>
    <tableColumn id="12" name="Rating" dataDxfId="230"/>
    <tableColumn id="13" name="Process" dataDxfId="229"/>
    <tableColumn id="7" name="Library Ref" dataDxfId="228"/>
    <tableColumn id="15" name="Footprint Ref" dataDxfId="227">
      <calculatedColumnFormula>GenericDiodes80[[#This Row],[Footprint]]</calculatedColumnFormula>
    </tableColumn>
    <tableColumn id="16" name="YORUM" dataDxfId="226"/>
  </tableColumns>
  <tableStyleInfo name="TableStyleLight21" showFirstColumn="0" showLastColumn="0" showRowStripes="1" showColumnStripes="0"/>
</table>
</file>

<file path=xl/tables/table66.xml><?xml version="1.0" encoding="utf-8"?>
<table xmlns="http://schemas.openxmlformats.org/spreadsheetml/2006/main" id="2" name="GenericDiodes" displayName="GenericDiodes" ref="A1:O17" totalsRowShown="0" headerRowDxfId="225" dataDxfId="224">
  <autoFilter ref="A1:O17"/>
  <tableColumns count="15">
    <tableColumn id="1" name="ID" dataDxfId="223"/>
    <tableColumn id="4" name="FEKA NO" dataDxfId="222"/>
    <tableColumn id="10" name="Category" dataDxfId="221">
      <calculatedColumnFormula>"DIO-SW"</calculatedColumnFormula>
    </tableColumn>
    <tableColumn id="2" name="Description" dataDxfId="220">
      <calculatedColumnFormula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calculatedColumnFormula>
    </tableColumn>
    <tableColumn id="3" name="Max Peak Reverse Voltage(V)" dataDxfId="219"/>
    <tableColumn id="14" name="Max Forward Voltage(V)" dataDxfId="218"/>
    <tableColumn id="5" name="Max Forward Current(A)" dataDxfId="217"/>
    <tableColumn id="8" name="Footprint" dataDxfId="216"/>
    <tableColumn id="6" name="Part Number" dataDxfId="215"/>
    <tableColumn id="11" name="Manufacturer" dataDxfId="214"/>
    <tableColumn id="12" name="Rating" dataDxfId="213"/>
    <tableColumn id="13" name="Process" dataDxfId="212"/>
    <tableColumn id="7" name="Library Ref" dataDxfId="211"/>
    <tableColumn id="15" name="Footprint Ref" dataDxfId="210">
      <calculatedColumnFormula>GenericDiodes[[#This Row],[Footprint]]</calculatedColumnFormula>
    </tableColumn>
    <tableColumn id="16" name="YORUM" dataDxfId="209"/>
  </tableColumns>
  <tableStyleInfo name="TableStyleLight21" showFirstColumn="0" showLastColumn="0" showRowStripes="1" showColumnStripes="0"/>
</table>
</file>

<file path=xl/tables/table67.xml><?xml version="1.0" encoding="utf-8"?>
<table xmlns="http://schemas.openxmlformats.org/spreadsheetml/2006/main" id="76" name="ZenerDiodes77" displayName="ZenerDiodes77" ref="A1:N34" totalsRowShown="0" headerRowDxfId="208">
  <autoFilter ref="A1:N34"/>
  <sortState ref="A2:P31">
    <sortCondition ref="B1:B31"/>
  </sortState>
  <tableColumns count="14">
    <tableColumn id="1" name="ID" dataDxfId="207">
      <calculatedColumnFormula>ROW()-1</calculatedColumnFormula>
    </tableColumn>
    <tableColumn id="2" name="FEKA NO" dataDxfId="206"/>
    <tableColumn id="3" name="Category" dataDxfId="205">
      <calculatedColumnFormula>"DIO-ZEN"</calculatedColumnFormula>
    </tableColumn>
    <tableColumn id="13" name="Description" dataDxfId="204">
      <calculatedColumnFormula>CONCATENATE(ZenerDiodes77[[#This Row],[Category]]," ",ZenerDiodes77[[#This Row],[Nom Zener Voltage(V)]]," ",ZenerDiodes77[[#This Row],[Tolerance(%)]]," ",ZenerDiodes77[[#This Row],[Footprint]]," ",ZenerDiodes77[[#This Row],[Rating]])</calculatedColumnFormula>
    </tableColumn>
    <tableColumn id="5" name="Nom Zener Voltage(V)" dataDxfId="203"/>
    <tableColumn id="18" name="Tolerance(%)" dataDxfId="202"/>
    <tableColumn id="8" name="Footprint" dataDxfId="201"/>
    <tableColumn id="9" name="Part Number" dataDxfId="200"/>
    <tableColumn id="10" name="Manufacturer"/>
    <tableColumn id="15" name="Rating" dataDxfId="199"/>
    <tableColumn id="14" name="Process" dataDxfId="198"/>
    <tableColumn id="12" name="Library Ref" dataDxfId="197"/>
    <tableColumn id="11" name="Footprint Ref" dataDxfId="196">
      <calculatedColumnFormula>ZenerDiodes77[[#This Row],[Footprint]]</calculatedColumnFormula>
    </tableColumn>
    <tableColumn id="16" name="Yorum"/>
  </tableColumns>
  <tableStyleInfo name="TableStyleLight21" showFirstColumn="0" showLastColumn="0" showRowStripes="1" showColumnStripes="0"/>
</table>
</file>

<file path=xl/tables/table68.xml><?xml version="1.0" encoding="utf-8"?>
<table xmlns="http://schemas.openxmlformats.org/spreadsheetml/2006/main" id="77" name="SchottkyDiodes78" displayName="SchottkyDiodes78" ref="A1:N18" totalsRowShown="0" headerRowDxfId="195">
  <autoFilter ref="A1:N18"/>
  <sortState ref="A2:N17">
    <sortCondition ref="B1:B17"/>
  </sortState>
  <tableColumns count="14">
    <tableColumn id="1" name="ID" dataDxfId="194">
      <calculatedColumnFormula>ROW()-1</calculatedColumnFormula>
    </tableColumn>
    <tableColumn id="2" name="FEKA NO"/>
    <tableColumn id="3" name="Category" dataDxfId="193">
      <calculatedColumnFormula>"DIO-SCH"</calculatedColumnFormula>
    </tableColumn>
    <tableColumn id="15" name="Description" dataDxfId="192">
      <calculatedColumnFormula>CONCATENATE(SchottkyDiodes78[[#This Row],[Category]]," ",SchottkyDiodes78[[#This Row],[Max Reverse Voltage(V)]]," ",SchottkyDiodes78[[#This Row],[Avg Forward Current(V)]]," ",SchottkyDiodes78[[#This Row],[Footprint]]," ",SchottkyDiodes78[[#This Row],[Rating]])</calculatedColumnFormula>
    </tableColumn>
    <tableColumn id="4" name="Max Reverse Voltage(V)" dataDxfId="191"/>
    <tableColumn id="5" name="Max Forward Voltage(V)" dataDxfId="190"/>
    <tableColumn id="6" name="Avg Forward Current(V)" dataDxfId="189"/>
    <tableColumn id="8" name="Footprint" dataDxfId="188"/>
    <tableColumn id="9" name="Part Number" dataDxfId="187"/>
    <tableColumn id="10" name="Manufacturer"/>
    <tableColumn id="14" name="Rating" dataDxfId="186"/>
    <tableColumn id="13" name="Process" dataDxfId="185"/>
    <tableColumn id="12" name="Library Ref" dataDxfId="184"/>
    <tableColumn id="11" name="Footprint Ref" dataDxfId="183">
      <calculatedColumnFormula>SchottkyDiodes78[[#This Row],[Footprint]]</calculatedColumnFormula>
    </tableColumn>
  </tableColumns>
  <tableStyleInfo name="TableStyleLight21" showFirstColumn="0" showLastColumn="0" showRowStripes="1" showColumnStripes="0"/>
</table>
</file>

<file path=xl/tables/table69.xml><?xml version="1.0" encoding="utf-8"?>
<table xmlns="http://schemas.openxmlformats.org/spreadsheetml/2006/main" id="78" name="TVSDiodes79" displayName="TVSDiodes79" ref="A1:P47" totalsRowShown="0" dataDxfId="182">
  <autoFilter ref="A1:P47"/>
  <tableColumns count="16">
    <tableColumn id="1" name="ID" dataDxfId="181">
      <calculatedColumnFormula>ROW()-1</calculatedColumnFormula>
    </tableColumn>
    <tableColumn id="2" name="FEKA NO" dataDxfId="180"/>
    <tableColumn id="3" name="Category" dataDxfId="179">
      <calculatedColumnFormula>"DIO-TVS"</calculatedColumnFormula>
    </tableColumn>
    <tableColumn id="15" name="Description" dataDxfId="178">
      <calculatedColumnFormula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calculatedColumnFormula>
    </tableColumn>
    <tableColumn id="4" name="Reverse Standoff Voltage(V)" dataDxfId="177"/>
    <tableColumn id="5" name="Peak Pulse Power(W)" dataDxfId="176"/>
    <tableColumn id="6" name="Max Peak Pulse Current(A)" dataDxfId="175"/>
    <tableColumn id="14" name="Polarization" dataDxfId="174"/>
    <tableColumn id="7" name="Footprint" dataDxfId="173"/>
    <tableColumn id="8" name="Part Number" dataDxfId="172"/>
    <tableColumn id="9" name="Manufacturer" dataDxfId="171"/>
    <tableColumn id="10" name="Rating" dataDxfId="170"/>
    <tableColumn id="13" name="Process" dataDxfId="169"/>
    <tableColumn id="12" name="Library Ref" dataDxfId="168"/>
    <tableColumn id="11" name="Footprint Ref" dataDxfId="167">
      <calculatedColumnFormula>TVSDiodes79[[#This Row],[Footprint]]</calculatedColumnFormula>
    </tableColumn>
    <tableColumn id="16" name="Yorum" dataDxfId="166"/>
  </tableColumns>
  <tableStyleInfo name="TableStyleLight21" showFirstColumn="0" showLastColumn="0" showRowStripes="1" showColumnStripes="0"/>
</table>
</file>

<file path=xl/tables/table70.xml><?xml version="1.0" encoding="utf-8"?>
<table xmlns="http://schemas.openxmlformats.org/spreadsheetml/2006/main" id="9" name="NTCs" displayName="NTCs" ref="A1:O11" totalsRowShown="0">
  <autoFilter ref="A1:O11"/>
  <tableColumns count="15">
    <tableColumn id="1" name="ID" dataDxfId="165">
      <calculatedColumnFormula>ROW()-1</calculatedColumnFormula>
    </tableColumn>
    <tableColumn id="15" name="FEKA NO" dataDxfId="164"/>
    <tableColumn id="10" name="Category" dataDxfId="163">
      <calculatedColumnFormula>"NTC"</calculatedColumnFormula>
    </tableColumn>
    <tableColumn id="13" name="Description" dataDxfId="162">
      <calculatedColumnFormula>CONCATENATE(NTCs[[#This Row],[Category]]," ",NTCs[[#This Row],[Resistance@25°C(Ohm)]]," ",NTCs[[#This Row],[Resistance Tolerance(%)]]," ",NTCs[[#This Row],[Beta(K)]]," ",SUBSTITUTE(NTCs[[#This Row],[Footprint]], "NTC-", "")," ",NTCs[[#This Row],[Rating]])</calculatedColumnFormula>
    </tableColumn>
    <tableColumn id="2" name="Resistance@25°C(Ohm)" dataDxfId="161"/>
    <tableColumn id="5" name="Resistance Tolerance(%)" dataDxfId="160"/>
    <tableColumn id="3" name="Beta(K)" dataDxfId="159"/>
    <tableColumn id="4" name="Beta Tolerance(%)" dataDxfId="158"/>
    <tableColumn id="16" name="Footprint" dataDxfId="157"/>
    <tableColumn id="6" name="Part Number" dataDxfId="156"/>
    <tableColumn id="9" name="Manufacturer" dataDxfId="155"/>
    <tableColumn id="8" name="Rating" dataDxfId="154"/>
    <tableColumn id="14" name="Process" dataDxfId="153"/>
    <tableColumn id="12" name="Library Ref"/>
    <tableColumn id="11" name="Footprint Ref">
      <calculatedColumnFormula>NTCs[[#This Row],[Footprint]]</calculatedColumnFormula>
    </tableColumn>
  </tableColumns>
  <tableStyleInfo name="TableStyleLight21" showFirstColumn="0" showLastColumn="0" showRowStripes="1" showColumnStripes="0"/>
</table>
</file>

<file path=xl/tables/table71.xml><?xml version="1.0" encoding="utf-8"?>
<table xmlns="http://schemas.openxmlformats.org/spreadsheetml/2006/main" id="10" name="PTCs" displayName="PTCs" ref="A1:M11" totalsRowShown="0" dataDxfId="152">
  <autoFilter ref="A1:M11"/>
  <tableColumns count="13">
    <tableColumn id="1" name="ID" dataDxfId="151">
      <calculatedColumnFormula>ROW()-1</calculatedColumnFormula>
    </tableColumn>
    <tableColumn id="15" name="FEKA NO" dataDxfId="150"/>
    <tableColumn id="10" name="Category" dataDxfId="149">
      <calculatedColumnFormula>"PTC"</calculatedColumnFormula>
    </tableColumn>
    <tableColumn id="13" name="Description" dataDxfId="148">
      <calculatedColumnFormula>CONCATENATE(PTCs[[#This Row],[Category]]," ",PTCs[[#This Row],[Resistance@25°C(Ohm)]]," ",PTCs[[#This Row],[Percentage R. Tolerance(%)]]," ",PTCs[[#This Row],[Footprint]]," ",PTCs[[#This Row],[Rating]])</calculatedColumnFormula>
    </tableColumn>
    <tableColumn id="2" name="Resistance@25°C(Ohm)" dataDxfId="147"/>
    <tableColumn id="5" name="Percentage R. Tolerance(%)" dataDxfId="146"/>
    <tableColumn id="16" name="Footprint" dataDxfId="145"/>
    <tableColumn id="6" name="Part Number" dataDxfId="144"/>
    <tableColumn id="9" name="Manufacturer" dataDxfId="143"/>
    <tableColumn id="8" name="Rating" dataDxfId="142"/>
    <tableColumn id="14" name="Process" dataDxfId="141"/>
    <tableColumn id="12" name="Library Ref" dataDxfId="140"/>
    <tableColumn id="11" name="Footprint Ref" dataDxfId="139">
      <calculatedColumnFormula>PTCs[[#This Row],[Footprint]]</calculatedColumnFormula>
    </tableColumn>
  </tableColumns>
  <tableStyleInfo name="TableStyleLight21" showFirstColumn="0" showLastColumn="0" showRowStripes="1" showColumnStripes="0"/>
</table>
</file>

<file path=xl/tables/table72.xml><?xml version="1.0" encoding="utf-8"?>
<table xmlns="http://schemas.openxmlformats.org/spreadsheetml/2006/main" id="11" name="LEDs" displayName="LEDs" ref="A1:N20" totalsRowShown="0" dataDxfId="138">
  <autoFilter ref="A1:N20"/>
  <tableColumns count="14">
    <tableColumn id="1" name="ID" dataDxfId="137">
      <calculatedColumnFormula>ROW()-1</calculatedColumnFormula>
    </tableColumn>
    <tableColumn id="2" name="FEKA NO" dataDxfId="136"/>
    <tableColumn id="3" name="Category" dataDxfId="135">
      <calculatedColumnFormula>"LED"</calculatedColumnFormula>
    </tableColumn>
    <tableColumn id="5" name="Description" dataDxfId="134">
      <calculatedColumnFormula>CONCATENATE(LEDs[[#This Row],[Category]]," ",LEDs[[#This Row],[Part Number]]," ",LEDs[[#This Row],[BIN]]," ",LEDs[[#This Row],[Rating]])</calculatedColumnFormula>
    </tableColumn>
    <tableColumn id="15" name="Nom Forward Voltage(V)" dataDxfId="133"/>
    <tableColumn id="6" name="Nom Forward Current(A)" dataDxfId="132"/>
    <tableColumn id="14" name="BIN" dataDxfId="131"/>
    <tableColumn id="7" name="Footprint" dataDxfId="130"/>
    <tableColumn id="8" name="Part Number" dataDxfId="129"/>
    <tableColumn id="9" name="Manufacturer" dataDxfId="128"/>
    <tableColumn id="10" name="Rating" dataDxfId="127"/>
    <tableColumn id="13" name="Process" dataDxfId="126"/>
    <tableColumn id="12" name="Library Ref" dataDxfId="125"/>
    <tableColumn id="11" name="Footprint Ref" dataDxfId="124">
      <calculatedColumnFormula>LEDs[[#This Row],[Footprint]]</calculatedColumnFormula>
    </tableColumn>
  </tableColumns>
  <tableStyleInfo name="TableStyleLight21" showFirstColumn="0" showLastColumn="0" showRowStripes="1" showColumnStripes="0"/>
</table>
</file>

<file path=xl/tables/table73.xml><?xml version="1.0" encoding="utf-8"?>
<table xmlns="http://schemas.openxmlformats.org/spreadsheetml/2006/main" id="62" name="Transistors63" displayName="Transistors63" ref="A1:Q41" totalsRowShown="0" headerRowDxfId="123" dataDxfId="122">
  <autoFilter ref="A1:Q41"/>
  <tableColumns count="17">
    <tableColumn id="1" name="ID" dataDxfId="121">
      <calculatedColumnFormula>ROW()-1</calculatedColumnFormula>
    </tableColumn>
    <tableColumn id="2" name="FEKA NO" dataDxfId="120"/>
    <tableColumn id="3" name="Category" dataDxfId="119">
      <calculatedColumnFormula>"TRAN"</calculatedColumnFormula>
    </tableColumn>
    <tableColumn id="4" name="Description" dataDxfId="118">
      <calculatedColumnFormula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calculatedColumnFormula>
    </tableColumn>
    <tableColumn id="6" name="Type" dataDxfId="117"/>
    <tableColumn id="14" name="Max Collector-Emitter Voltage(V)" dataDxfId="116"/>
    <tableColumn id="7" name="Max Collector Current(I)" dataDxfId="115"/>
    <tableColumn id="5" name="Max Base-Emitter Voltage(V)" dataDxfId="114"/>
    <tableColumn id="11" name="Power(W)" dataDxfId="113"/>
    <tableColumn id="15" name="Footprint" dataDxfId="112"/>
    <tableColumn id="16" name="Part Number" dataDxfId="111"/>
    <tableColumn id="8" name="Manufacturer" dataDxfId="110"/>
    <tableColumn id="9" name="Rating" dataDxfId="109"/>
    <tableColumn id="10" name="Process" dataDxfId="108"/>
    <tableColumn id="13" name="Library Ref"/>
    <tableColumn id="12" name="Footprint Ref" dataDxfId="107">
      <calculatedColumnFormula>Transistors63[[#This Row],[Footprint]]</calculatedColumnFormula>
    </tableColumn>
    <tableColumn id="17" name="Yorum" dataDxfId="106"/>
  </tableColumns>
  <tableStyleInfo name="TableStyleLight21" showFirstColumn="0" showLastColumn="0" showRowStripes="1" showColumnStripes="0"/>
</table>
</file>

<file path=xl/tables/table74.xml><?xml version="1.0" encoding="utf-8"?>
<table xmlns="http://schemas.openxmlformats.org/spreadsheetml/2006/main" id="75" name="Mosfets76" displayName="Mosfets76" ref="A1:P13" totalsRowShown="0" headerRowDxfId="105" dataDxfId="104">
  <autoFilter ref="A1:P13"/>
  <tableColumns count="16">
    <tableColumn id="1" name="ID No" dataDxfId="103">
      <calculatedColumnFormula>ROW()-1</calculatedColumnFormula>
    </tableColumn>
    <tableColumn id="5" name="FEKA NO" dataDxfId="102"/>
    <tableColumn id="10" name="Category" dataDxfId="101">
      <calculatedColumnFormula>"MOS"</calculatedColumnFormula>
    </tableColumn>
    <tableColumn id="13" name="Description" dataDxfId="100">
      <calculatedColumnFormula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calculatedColumnFormula>
    </tableColumn>
    <tableColumn id="2" name="Type" dataDxfId="99"/>
    <tableColumn id="3" name="Max Drain-Source Voltage(V)" dataDxfId="98"/>
    <tableColumn id="4" name="Max Drain Current(I)" dataDxfId="97"/>
    <tableColumn id="6" name="Max Gate-Source Voltage(V)" dataDxfId="96"/>
    <tableColumn id="14" name="Power(W)" dataDxfId="95"/>
    <tableColumn id="17" name="Footprint" dataDxfId="94"/>
    <tableColumn id="7" name="Part Number" dataDxfId="93"/>
    <tableColumn id="15" name="Manufacturer" dataDxfId="92"/>
    <tableColumn id="16" name="Rating" dataDxfId="91"/>
    <tableColumn id="8" name="Process" dataDxfId="90"/>
    <tableColumn id="12" name="Library Ref" dataDxfId="89"/>
    <tableColumn id="11" name="Footprint Ref" dataDxfId="88">
      <calculatedColumnFormula>Mosfets76[[#This Row],[Footprint]]</calculatedColumnFormula>
    </tableColumn>
  </tableColumns>
  <tableStyleInfo name="TableStyleLight21" showFirstColumn="0" showLastColumn="0" showRowStripes="1" showColumnStripes="0"/>
</table>
</file>

<file path=xl/tables/table75.xml><?xml version="1.0" encoding="utf-8"?>
<table xmlns="http://schemas.openxmlformats.org/spreadsheetml/2006/main" id="7" name="Mosfets768" displayName="Mosfets768" ref="A1:N13" totalsRowShown="0" headerRowDxfId="87" dataDxfId="86">
  <autoFilter ref="A1:N13"/>
  <tableColumns count="14">
    <tableColumn id="1" name="ID" dataDxfId="85">
      <calculatedColumnFormula>ROW()-1</calculatedColumnFormula>
    </tableColumn>
    <tableColumn id="9" name="FEKA NO" dataDxfId="84"/>
    <tableColumn id="15" name="Category" dataDxfId="83">
      <calculatedColumnFormula>"DC-DC"</calculatedColumnFormula>
    </tableColumn>
    <tableColumn id="16" name="Description" dataDxfId="82">
      <calculatedColumnFormula>CONCATENATE(Mosfets768[[#This Row],[Category]]," ",Mosfets768[[#This Row],[Type]]," ",Mosfets768[[#This Row],[Max Output Voltage(V)]]," ",Mosfets768[[#This Row],[Max Output Current(I)]]," ",Mosfets768[[#This Row],[Footprint]]," ",Mosfets768[[#This Row],[Rating]])</calculatedColumnFormula>
    </tableColumn>
    <tableColumn id="5" name="Type" dataDxfId="81"/>
    <tableColumn id="18" name="Max Output Voltage(V)" dataDxfId="80"/>
    <tableColumn id="2" name="Max Output Current(I)" dataDxfId="79"/>
    <tableColumn id="19" name="Footprint" dataDxfId="78"/>
    <tableColumn id="4" name="Part Number" dataDxfId="77"/>
    <tableColumn id="7" name="Manufacturer" dataDxfId="76"/>
    <tableColumn id="17" name="Rating" dataDxfId="75"/>
    <tableColumn id="6" name="Process" dataDxfId="74"/>
    <tableColumn id="8" name="Library Ref" dataDxfId="73"/>
    <tableColumn id="12" name="Footprint Ref" dataDxfId="72">
      <calculatedColumnFormula>Mosfets768[[#This Row],[Footprint]]</calculatedColumnFormula>
    </tableColumn>
  </tableColumns>
  <tableStyleInfo name="TableStyleLight21" showFirstColumn="0" showLastColumn="0" showRowStripes="1" showColumnStripes="0"/>
</table>
</file>

<file path=xl/tables/table76.xml><?xml version="1.0" encoding="utf-8"?>
<table xmlns="http://schemas.openxmlformats.org/spreadsheetml/2006/main" id="15" name="LinearVoltageRegulators" displayName="LinearVoltageRegulators" ref="A1:N11" totalsRowShown="0">
  <autoFilter ref="A1:N11"/>
  <tableColumns count="14">
    <tableColumn id="1" name="ID" dataDxfId="71">
      <calculatedColumnFormula>ROW()-1</calculatedColumnFormula>
    </tableColumn>
    <tableColumn id="5" name="FEKA NO"/>
    <tableColumn id="10" name="Category" dataDxfId="70">
      <calculatedColumnFormula>"LVR"</calculatedColumnFormula>
    </tableColumn>
    <tableColumn id="13" name="Description" dataDxfId="69">
      <calculatedColumnFormula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calculatedColumnFormula>
    </tableColumn>
    <tableColumn id="6" name="Output Type" dataDxfId="68"/>
    <tableColumn id="14" name="Max Output Voltage(V)" dataDxfId="67"/>
    <tableColumn id="3" name="Max Output Current(I)" dataDxfId="66"/>
    <tableColumn id="19" name="Footprint"/>
    <tableColumn id="7" name="Part Number"/>
    <tableColumn id="9" name="Manufacturer"/>
    <tableColumn id="8" name="Rating"/>
    <tableColumn id="15" name="Process"/>
    <tableColumn id="12" name="Library Ref"/>
    <tableColumn id="11" name="Footprint Ref">
      <calculatedColumnFormula>LinearVoltageRegulators[[#This Row],[Footprint]]</calculatedColumnFormula>
    </tableColumn>
  </tableColumns>
  <tableStyleInfo name="TableStyleLight21" showFirstColumn="0" showLastColumn="0" showRowStripes="1" showColumnStripes="0"/>
</table>
</file>

<file path=xl/tables/table77.xml><?xml version="1.0" encoding="utf-8"?>
<table xmlns="http://schemas.openxmlformats.org/spreadsheetml/2006/main" id="16" name="LEDDrivers" displayName="LEDDrivers" ref="A1:O11" totalsRowShown="0">
  <autoFilter ref="A1:O11"/>
  <tableColumns count="15">
    <tableColumn id="1" name="ID" dataDxfId="65">
      <calculatedColumnFormula>ROW()-1</calculatedColumnFormula>
    </tableColumn>
    <tableColumn id="2" name="FEKA NO"/>
    <tableColumn id="3" name="Category" dataDxfId="64">
      <calculatedColumnFormula>"LED Driver"</calculatedColumnFormula>
    </tableColumn>
    <tableColumn id="4" name="Description" dataDxfId="63">
      <calculatedColumnFormula>CONCATENATE(LEDDrivers[[#This Row],[Category]]," ",LEDDrivers[[#This Row],[Type]]," ",LEDDrivers[[#This Row],[Total Channel Count]]," ",LEDDrivers[[#This Row],[Output Current/Channel(A)]]," ",LEDDrivers[[#This Row],[Footprint]]," ",LEDDrivers[[#This Row],[Rating]])</calculatedColumnFormula>
    </tableColumn>
    <tableColumn id="7" name="Type"/>
    <tableColumn id="15" name="Total Channel Count"/>
    <tableColumn id="16" name="Output Current/Channel(A)"/>
    <tableColumn id="9" name="Footprint"/>
    <tableColumn id="10" name="Part Number"/>
    <tableColumn id="8" name="Manufacturer"/>
    <tableColumn id="12" name="Rating"/>
    <tableColumn id="11" name="Process" dataDxfId="62"/>
    <tableColumn id="5" name="Library Ref"/>
    <tableColumn id="6" name="Footprint Ref" dataDxfId="61">
      <calculatedColumnFormula>LEDDrivers[[#This Row],[Footprint]]</calculatedColumnFormula>
    </tableColumn>
    <tableColumn id="14" name="Yorum"/>
  </tableColumns>
  <tableStyleInfo name="TableStyleLight21" showFirstColumn="0" showLastColumn="0" showRowStripes="1" showColumnStripes="0"/>
</table>
</file>

<file path=xl/tables/table78.xml><?xml version="1.0" encoding="utf-8"?>
<table xmlns="http://schemas.openxmlformats.org/spreadsheetml/2006/main" id="18" name="Microcontrollers" displayName="Microcontrollers" ref="A1:Q11" totalsRowShown="0" dataDxfId="60">
  <autoFilter ref="A1:Q11"/>
  <tableColumns count="17">
    <tableColumn id="1" name="ID" dataDxfId="59">
      <calculatedColumnFormula>ROW()-1</calculatedColumnFormula>
    </tableColumn>
    <tableColumn id="2" name="FEKA NO" dataDxfId="58"/>
    <tableColumn id="3" name="Category" dataDxfId="57">
      <calculatedColumnFormula>"MCU"</calculatedColumnFormula>
    </tableColumn>
    <tableColumn id="13" name="Description" dataDxfId="56">
      <calculatedColumnFormula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calculatedColumnFormula>
    </tableColumn>
    <tableColumn id="4" name="Core Processor" dataDxfId="55"/>
    <tableColumn id="5" name="Core Size(Bit)" dataDxfId="54"/>
    <tableColumn id="6" name="Clock Speed(Hz)" dataDxfId="53"/>
    <tableColumn id="14" name="Program Memory Size(B)" dataDxfId="52"/>
    <tableColumn id="17" name="Program Memory Type" dataDxfId="51"/>
    <tableColumn id="18" name="ASIL Category" dataDxfId="50"/>
    <tableColumn id="19" name="Footprint" dataDxfId="49"/>
    <tableColumn id="7" name="Part Number" dataDxfId="48"/>
    <tableColumn id="9" name="Manufacturer" dataDxfId="47"/>
    <tableColumn id="8" name="Rating" dataDxfId="46"/>
    <tableColumn id="15" name="Process" dataDxfId="45"/>
    <tableColumn id="12" name="Library Ref" dataDxfId="44"/>
    <tableColumn id="11" name="Footprint Ref" dataDxfId="43">
      <calculatedColumnFormula>Microcontrollers[[#This Row],[Footprint]]</calculatedColumnFormula>
    </tableColumn>
  </tableColumns>
  <tableStyleInfo name="TableStyleLight21" showFirstColumn="0" showLastColumn="0" showRowStripes="1" showColumnStripes="0"/>
</table>
</file>

<file path=xl/tables/table79.xml><?xml version="1.0" encoding="utf-8"?>
<table xmlns="http://schemas.openxmlformats.org/spreadsheetml/2006/main" id="17" name="Others" displayName="Others" ref="A1:K11" totalsRowShown="0">
  <autoFilter ref="A1:K11"/>
  <tableColumns count="11">
    <tableColumn id="1" name="ID">
      <calculatedColumnFormula>ROW()-1</calculatedColumnFormula>
    </tableColumn>
    <tableColumn id="2" name="FEKA NO"/>
    <tableColumn id="10" name="Category"/>
    <tableColumn id="13" name="Description" dataDxfId="42">
      <calculatedColumnFormula>CONCATENATE(Others[[#This Row],[Category]]," ",Others[[#This Row],[Part Number]]," ",Others[[#This Row],[Footprint]]," ",Others[[#This Row],[Rating]])</calculatedColumnFormula>
    </tableColumn>
    <tableColumn id="3" name="Footprint"/>
    <tableColumn id="7" name="Part Number"/>
    <tableColumn id="9" name="Manufacturer"/>
    <tableColumn id="8" name="Rating"/>
    <tableColumn id="15" name="Process"/>
    <tableColumn id="12" name="Library Ref"/>
    <tableColumn id="11" name="Footprint Ref">
      <calculatedColumnFormula>Others[[#This Row],[Footprint]]</calculatedColumnFormula>
    </tableColumn>
  </tableColumns>
  <tableStyleInfo name="TableStyleLight21" showFirstColumn="0" showLastColumn="0" showRowStripes="1" showColumnStripes="0"/>
</table>
</file>

<file path=xl/tables/table80.xml><?xml version="1.0" encoding="utf-8"?>
<table xmlns="http://schemas.openxmlformats.org/spreadsheetml/2006/main" id="19" name="Connectors_PinHeaders" displayName="Connectors_PinHeaders" ref="A1:O11" totalsRowShown="0">
  <autoFilter ref="A1:O11"/>
  <tableColumns count="15">
    <tableColumn id="1" name="ID" dataDxfId="41">
      <calculatedColumnFormula>ROW()-1</calculatedColumnFormula>
    </tableColumn>
    <tableColumn id="5" name="FEKA NO" dataDxfId="40"/>
    <tableColumn id="6" name="Category" dataDxfId="39">
      <calculatedColumnFormula>"CON"</calculatedColumnFormula>
    </tableColumn>
    <tableColumn id="2" name="Description" dataDxfId="38">
      <calculatedColumnFormula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calculatedColumnFormula>
    </tableColumn>
    <tableColumn id="3" name="Gender" dataDxfId="37"/>
    <tableColumn id="4" name="Pin Count" dataDxfId="36"/>
    <tableColumn id="7" name="Pitch(mm)" dataDxfId="35"/>
    <tableColumn id="15" name="Color" dataDxfId="34"/>
    <tableColumn id="16" name="Footprint" dataDxfId="33"/>
    <tableColumn id="8" name="Part Number" dataDxfId="32"/>
    <tableColumn id="9" name="Manufacturer" dataDxfId="31"/>
    <tableColumn id="10" name="Rating" dataDxfId="30"/>
    <tableColumn id="13" name="Process"/>
    <tableColumn id="12" name="Library Ref" dataDxfId="29"/>
    <tableColumn id="11" name="Footprint Ref" dataDxfId="28">
      <calculatedColumnFormula>Connectors_PinHeaders[[#This Row],[Footprint]]</calculatedColumnFormula>
    </tableColumn>
  </tableColumns>
  <tableStyleInfo name="TableStyleLight21" showFirstColumn="0" showLastColumn="0" showRowStripes="1" showColumnStripes="0"/>
</table>
</file>

<file path=xl/tables/table81.xml><?xml version="1.0" encoding="utf-8"?>
<table xmlns="http://schemas.openxmlformats.org/spreadsheetml/2006/main" id="20" name="Terminals" displayName="Terminals" ref="A1:M11" totalsRowShown="0" dataDxfId="27">
  <autoFilter ref="A1:M11"/>
  <tableColumns count="13">
    <tableColumn id="1" name="ID" dataDxfId="26">
      <calculatedColumnFormula>ROW()-1</calculatedColumnFormula>
    </tableColumn>
    <tableColumn id="10" name="Category" dataDxfId="25">
      <calculatedColumnFormula>"TRM"</calculatedColumnFormula>
    </tableColumn>
    <tableColumn id="13" name="Description" dataDxfId="24">
      <calculatedColumnFormula>CONCATENATE(Terminals[[#This Row],[Category]]," ",Terminals[[#This Row],[Gender]]," BM:",Terminals[[#This Row],[Base Material]]," PM:",Terminals[[#This Row],[Plating Material]]," ",#REF!)</calculatedColumnFormula>
    </tableColumn>
    <tableColumn id="3" name="Gender" dataDxfId="23"/>
    <tableColumn id="17" name="Base Material" dataDxfId="22"/>
    <tableColumn id="18" name="Plating Material" dataDxfId="21"/>
    <tableColumn id="19" name="Footprint" dataDxfId="20"/>
    <tableColumn id="6" name="Part Number" dataDxfId="19"/>
    <tableColumn id="7" name="Manufacturer" dataDxfId="18"/>
    <tableColumn id="8" name="Rating" dataDxfId="17"/>
    <tableColumn id="15" name="Process" dataDxfId="16"/>
    <tableColumn id="12" name="Library Ref" dataDxfId="15"/>
    <tableColumn id="11" name="Footprint Ref" dataDxfId="14">
      <calculatedColumnFormula>Terminals[[#This Row],[Footprint]]</calculatedColumnFormula>
    </tableColumn>
  </tableColumns>
  <tableStyleInfo name="TableStyleLight21" showFirstColumn="0" showLastColumn="0" showRowStripes="1" showColumnStripes="0"/>
</table>
</file>

<file path=xl/tables/table82.xml><?xml version="1.0" encoding="utf-8"?>
<table xmlns="http://schemas.openxmlformats.org/spreadsheetml/2006/main" id="80" name="Terminals81" displayName="Terminals81" ref="A1:M11" totalsRowShown="0" dataDxfId="13">
  <autoFilter ref="A1:M11"/>
  <tableColumns count="13">
    <tableColumn id="1" name="ID" dataDxfId="12">
      <calculatedColumnFormula>ROW()-1</calculatedColumnFormula>
    </tableColumn>
    <tableColumn id="10" name="Category" dataDxfId="11">
      <calculatedColumnFormula>"PAD"</calculatedColumnFormula>
    </tableColumn>
    <tableColumn id="13" name="Description" dataDxfId="10">
      <calculatedColumnFormula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calculatedColumnFormula>
    </tableColumn>
    <tableColumn id="3" name="PAD X-Size(mm)" dataDxfId="9"/>
    <tableColumn id="17" name="PAD Y-Size(mm)" dataDxfId="8"/>
    <tableColumn id="4" name="Hole X-Size(mm)" dataDxfId="7"/>
    <tableColumn id="2" name="Hole Y-Size(mm)" dataDxfId="6"/>
    <tableColumn id="18" name="PAD Shape" dataDxfId="5"/>
    <tableColumn id="5" name="Hole Shape" dataDxfId="4"/>
    <tableColumn id="19" name="Footprint" dataDxfId="3"/>
    <tableColumn id="15" name="Process" dataDxfId="2"/>
    <tableColumn id="12" name="Library Ref" dataDxfId="1"/>
    <tableColumn id="11" name="Footprint Ref" dataDxfId="0">
      <calculatedColumnFormula>Terminals81[[#This Row],[Footprint]]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13" Type="http://schemas.openxmlformats.org/officeDocument/2006/relationships/table" Target="../tables/table15.xml"/><Relationship Id="rId18" Type="http://schemas.openxmlformats.org/officeDocument/2006/relationships/table" Target="../tables/table2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12" Type="http://schemas.openxmlformats.org/officeDocument/2006/relationships/table" Target="../tables/table14.xml"/><Relationship Id="rId17" Type="http://schemas.openxmlformats.org/officeDocument/2006/relationships/table" Target="../tables/table19.xml"/><Relationship Id="rId2" Type="http://schemas.openxmlformats.org/officeDocument/2006/relationships/table" Target="../tables/table4.xml"/><Relationship Id="rId16" Type="http://schemas.openxmlformats.org/officeDocument/2006/relationships/table" Target="../tables/table18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5" Type="http://schemas.openxmlformats.org/officeDocument/2006/relationships/table" Target="../tables/table17.xml"/><Relationship Id="rId10" Type="http://schemas.openxmlformats.org/officeDocument/2006/relationships/table" Target="../tables/table12.xml"/><Relationship Id="rId19" Type="http://schemas.openxmlformats.org/officeDocument/2006/relationships/table" Target="../tables/table21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Relationship Id="rId1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.xml"/><Relationship Id="rId13" Type="http://schemas.openxmlformats.org/officeDocument/2006/relationships/table" Target="../tables/table34.xml"/><Relationship Id="rId18" Type="http://schemas.openxmlformats.org/officeDocument/2006/relationships/table" Target="../tables/table39.xml"/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12" Type="http://schemas.openxmlformats.org/officeDocument/2006/relationships/table" Target="../tables/table33.xml"/><Relationship Id="rId17" Type="http://schemas.openxmlformats.org/officeDocument/2006/relationships/table" Target="../tables/table38.xml"/><Relationship Id="rId2" Type="http://schemas.openxmlformats.org/officeDocument/2006/relationships/table" Target="../tables/table23.xml"/><Relationship Id="rId16" Type="http://schemas.openxmlformats.org/officeDocument/2006/relationships/table" Target="../tables/table37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11" Type="http://schemas.openxmlformats.org/officeDocument/2006/relationships/table" Target="../tables/table32.xml"/><Relationship Id="rId5" Type="http://schemas.openxmlformats.org/officeDocument/2006/relationships/table" Target="../tables/table26.xml"/><Relationship Id="rId15" Type="http://schemas.openxmlformats.org/officeDocument/2006/relationships/table" Target="../tables/table36.xml"/><Relationship Id="rId10" Type="http://schemas.openxmlformats.org/officeDocument/2006/relationships/table" Target="../tables/table31.xml"/><Relationship Id="rId19" Type="http://schemas.openxmlformats.org/officeDocument/2006/relationships/table" Target="../tables/table40.xml"/><Relationship Id="rId4" Type="http://schemas.openxmlformats.org/officeDocument/2006/relationships/table" Target="../tables/table25.xml"/><Relationship Id="rId9" Type="http://schemas.openxmlformats.org/officeDocument/2006/relationships/table" Target="../tables/table30.xml"/><Relationship Id="rId14" Type="http://schemas.openxmlformats.org/officeDocument/2006/relationships/table" Target="../tables/table3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7.xml"/><Relationship Id="rId13" Type="http://schemas.openxmlformats.org/officeDocument/2006/relationships/table" Target="../tables/table52.xml"/><Relationship Id="rId18" Type="http://schemas.openxmlformats.org/officeDocument/2006/relationships/table" Target="../tables/table57.xml"/><Relationship Id="rId3" Type="http://schemas.openxmlformats.org/officeDocument/2006/relationships/table" Target="../tables/table42.xml"/><Relationship Id="rId7" Type="http://schemas.openxmlformats.org/officeDocument/2006/relationships/table" Target="../tables/table46.xml"/><Relationship Id="rId12" Type="http://schemas.openxmlformats.org/officeDocument/2006/relationships/table" Target="../tables/table51.xml"/><Relationship Id="rId17" Type="http://schemas.openxmlformats.org/officeDocument/2006/relationships/table" Target="../tables/table56.xml"/><Relationship Id="rId2" Type="http://schemas.openxmlformats.org/officeDocument/2006/relationships/table" Target="../tables/table41.xml"/><Relationship Id="rId16" Type="http://schemas.openxmlformats.org/officeDocument/2006/relationships/table" Target="../tables/table55.xml"/><Relationship Id="rId20" Type="http://schemas.openxmlformats.org/officeDocument/2006/relationships/table" Target="../tables/table59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5.xml"/><Relationship Id="rId11" Type="http://schemas.openxmlformats.org/officeDocument/2006/relationships/table" Target="../tables/table50.xml"/><Relationship Id="rId5" Type="http://schemas.openxmlformats.org/officeDocument/2006/relationships/table" Target="../tables/table44.xml"/><Relationship Id="rId15" Type="http://schemas.openxmlformats.org/officeDocument/2006/relationships/table" Target="../tables/table54.xml"/><Relationship Id="rId10" Type="http://schemas.openxmlformats.org/officeDocument/2006/relationships/table" Target="../tables/table49.xml"/><Relationship Id="rId19" Type="http://schemas.openxmlformats.org/officeDocument/2006/relationships/table" Target="../tables/table58.xml"/><Relationship Id="rId4" Type="http://schemas.openxmlformats.org/officeDocument/2006/relationships/table" Target="../tables/table43.xml"/><Relationship Id="rId9" Type="http://schemas.openxmlformats.org/officeDocument/2006/relationships/table" Target="../tables/table48.xml"/><Relationship Id="rId14" Type="http://schemas.openxmlformats.org/officeDocument/2006/relationships/table" Target="../tables/table5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Value@Frequenc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5"/>
  <sheetViews>
    <sheetView showGridLines="0" zoomScaleNormal="100" zoomScaleSheetLayoutView="70" workbookViewId="0">
      <selection activeCell="A5" sqref="A5"/>
    </sheetView>
  </sheetViews>
  <sheetFormatPr defaultRowHeight="15" x14ac:dyDescent="0.25"/>
  <cols>
    <col min="1" max="1" width="17.5703125" bestFit="1" customWidth="1"/>
    <col min="2" max="2" width="2.7109375" customWidth="1"/>
    <col min="3" max="3" width="17.5703125" bestFit="1" customWidth="1"/>
  </cols>
  <sheetData>
    <row r="1" spans="1:3" x14ac:dyDescent="0.25">
      <c r="A1" s="178" t="s">
        <v>42</v>
      </c>
      <c r="C1" s="179" t="s">
        <v>41</v>
      </c>
    </row>
    <row r="2" spans="1:3" x14ac:dyDescent="0.25">
      <c r="A2" t="s">
        <v>40</v>
      </c>
      <c r="C2" t="s">
        <v>40</v>
      </c>
    </row>
    <row r="3" spans="1:3" x14ac:dyDescent="0.25">
      <c r="A3" t="s">
        <v>11</v>
      </c>
      <c r="C3" t="s">
        <v>10</v>
      </c>
    </row>
    <row r="4" spans="1:3" x14ac:dyDescent="0.25">
      <c r="A4" t="s">
        <v>1561</v>
      </c>
      <c r="C4" t="s">
        <v>43</v>
      </c>
    </row>
    <row r="5" spans="1:3" x14ac:dyDescent="0.25">
      <c r="C5" t="s">
        <v>1418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9"/>
  <sheetViews>
    <sheetView showGridLines="0" topLeftCell="G1" zoomScale="85" zoomScaleNormal="85" workbookViewId="0">
      <selection activeCell="Q11" sqref="Q11"/>
    </sheetView>
  </sheetViews>
  <sheetFormatPr defaultRowHeight="15" x14ac:dyDescent="0.25"/>
  <cols>
    <col min="1" max="1" width="18.7109375" bestFit="1" customWidth="1"/>
    <col min="2" max="2" width="20.7109375" bestFit="1" customWidth="1"/>
    <col min="3" max="3" width="18.85546875" bestFit="1" customWidth="1"/>
    <col min="4" max="4" width="28.28515625" bestFit="1" customWidth="1"/>
    <col min="5" max="5" width="14.5703125" bestFit="1" customWidth="1"/>
    <col min="6" max="6" width="50.5703125" bestFit="1" customWidth="1"/>
    <col min="7" max="8" width="14.28515625" bestFit="1" customWidth="1"/>
    <col min="9" max="9" width="14" bestFit="1" customWidth="1"/>
    <col min="10" max="10" width="24.5703125" bestFit="1" customWidth="1"/>
    <col min="11" max="11" width="17.140625" bestFit="1" customWidth="1"/>
    <col min="12" max="12" width="29.28515625" bestFit="1" customWidth="1"/>
    <col min="13" max="13" width="38.5703125" bestFit="1" customWidth="1"/>
    <col min="14" max="14" width="22.85546875" bestFit="1" customWidth="1"/>
    <col min="15" max="15" width="26.7109375" bestFit="1" customWidth="1"/>
    <col min="16" max="16" width="23.85546875" bestFit="1" customWidth="1"/>
    <col min="17" max="17" width="38.7109375" bestFit="1" customWidth="1"/>
    <col min="18" max="18" width="16.7109375" bestFit="1" customWidth="1"/>
    <col min="19" max="19" width="18.85546875" bestFit="1" customWidth="1"/>
  </cols>
  <sheetData>
    <row r="1" spans="1:19" x14ac:dyDescent="0.25">
      <c r="A1" s="243" t="s">
        <v>117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</row>
    <row r="2" spans="1:19" x14ac:dyDescent="0.25">
      <c r="A2" s="17" t="s">
        <v>38</v>
      </c>
      <c r="B2" s="17" t="s">
        <v>39</v>
      </c>
      <c r="C2" s="17" t="s">
        <v>81</v>
      </c>
      <c r="D2" s="17" t="s">
        <v>82</v>
      </c>
      <c r="E2" s="17" t="s">
        <v>1420</v>
      </c>
      <c r="F2" s="17" t="s">
        <v>68</v>
      </c>
      <c r="G2" s="17" t="s">
        <v>114</v>
      </c>
      <c r="H2" s="17" t="s">
        <v>115</v>
      </c>
      <c r="I2" s="17" t="s">
        <v>116</v>
      </c>
      <c r="J2" s="17" t="s">
        <v>312</v>
      </c>
      <c r="K2" s="17" t="s">
        <v>313</v>
      </c>
      <c r="L2" s="17" t="s">
        <v>314</v>
      </c>
      <c r="M2" s="17" t="s">
        <v>315</v>
      </c>
      <c r="N2" s="17" t="s">
        <v>316</v>
      </c>
      <c r="O2" s="17" t="s">
        <v>1436</v>
      </c>
      <c r="P2" s="17" t="s">
        <v>374</v>
      </c>
      <c r="Q2" s="17" t="s">
        <v>375</v>
      </c>
      <c r="R2" s="17" t="s">
        <v>376</v>
      </c>
      <c r="S2" s="17" t="s">
        <v>1596</v>
      </c>
    </row>
    <row r="3" spans="1:19" x14ac:dyDescent="0.25">
      <c r="A3" s="18" t="s">
        <v>44</v>
      </c>
      <c r="B3" s="9" t="s">
        <v>45</v>
      </c>
      <c r="C3" s="18" t="s">
        <v>126</v>
      </c>
      <c r="D3" s="1" t="s">
        <v>88</v>
      </c>
      <c r="E3" s="174" t="s">
        <v>1425</v>
      </c>
      <c r="F3" s="38" t="s">
        <v>195</v>
      </c>
      <c r="G3" s="18"/>
      <c r="H3" s="18"/>
      <c r="I3" s="18" t="s">
        <v>171</v>
      </c>
      <c r="J3" s="18" t="s">
        <v>321</v>
      </c>
      <c r="K3" s="18"/>
      <c r="L3" s="18" t="s">
        <v>1415</v>
      </c>
      <c r="M3" s="18" t="s">
        <v>1732</v>
      </c>
      <c r="N3" s="17" t="s">
        <v>319</v>
      </c>
      <c r="O3" s="17" t="s">
        <v>1437</v>
      </c>
      <c r="P3" s="17" t="s">
        <v>1430</v>
      </c>
      <c r="Q3" s="17" t="s">
        <v>1412</v>
      </c>
      <c r="R3" s="17" t="s">
        <v>1706</v>
      </c>
      <c r="S3" s="17" t="s">
        <v>1708</v>
      </c>
    </row>
    <row r="4" spans="1:19" x14ac:dyDescent="0.25">
      <c r="A4" s="18"/>
      <c r="B4" s="9" t="s">
        <v>47</v>
      </c>
      <c r="C4" s="18"/>
      <c r="D4" s="1" t="s">
        <v>100</v>
      </c>
      <c r="E4" s="174"/>
      <c r="F4" s="38" t="s">
        <v>196</v>
      </c>
      <c r="G4" s="18"/>
      <c r="H4" s="18"/>
      <c r="I4" s="18"/>
      <c r="J4" s="18" t="s">
        <v>332</v>
      </c>
      <c r="K4" s="18"/>
      <c r="L4" s="18"/>
      <c r="M4" s="18"/>
      <c r="N4" s="17" t="s">
        <v>405</v>
      </c>
      <c r="O4" s="17" t="s">
        <v>1682</v>
      </c>
      <c r="P4" s="17" t="s">
        <v>1439</v>
      </c>
      <c r="Q4" s="17" t="s">
        <v>1749</v>
      </c>
      <c r="R4" s="42"/>
      <c r="S4" s="42"/>
    </row>
    <row r="5" spans="1:19" x14ac:dyDescent="0.25">
      <c r="A5" s="18"/>
      <c r="B5" s="18"/>
      <c r="C5" s="18"/>
      <c r="D5" s="18"/>
      <c r="E5" s="42"/>
      <c r="F5" s="37" t="s">
        <v>296</v>
      </c>
      <c r="G5" s="18"/>
      <c r="H5" s="18"/>
      <c r="I5" s="18"/>
      <c r="J5" s="18"/>
      <c r="K5" s="18"/>
      <c r="L5" s="18"/>
      <c r="M5" s="18"/>
      <c r="N5" s="17" t="s">
        <v>1681</v>
      </c>
      <c r="O5" s="42"/>
      <c r="P5" s="42"/>
      <c r="Q5" s="42"/>
      <c r="R5" s="42"/>
      <c r="S5" s="42"/>
    </row>
    <row r="6" spans="1:19" x14ac:dyDescent="0.25">
      <c r="A6" s="18"/>
      <c r="B6" s="18"/>
      <c r="C6" s="18"/>
      <c r="D6" s="18"/>
      <c r="E6" s="42"/>
      <c r="F6" s="38" t="s">
        <v>197</v>
      </c>
      <c r="G6" s="18"/>
      <c r="H6" s="18"/>
      <c r="I6" s="18"/>
      <c r="J6" s="18"/>
      <c r="K6" s="18"/>
      <c r="L6" s="18"/>
      <c r="M6" s="18"/>
      <c r="N6" s="17" t="s">
        <v>1729</v>
      </c>
      <c r="O6" s="42"/>
      <c r="P6" s="42"/>
      <c r="Q6" s="42"/>
      <c r="R6" s="42"/>
      <c r="S6" s="42"/>
    </row>
    <row r="7" spans="1:19" x14ac:dyDescent="0.25">
      <c r="A7" s="18"/>
      <c r="B7" s="18"/>
      <c r="C7" s="18"/>
      <c r="D7" s="18"/>
      <c r="E7" s="42"/>
      <c r="F7" s="37" t="s">
        <v>72</v>
      </c>
      <c r="G7" s="18"/>
      <c r="H7" s="18"/>
      <c r="I7" s="18"/>
      <c r="J7" s="18"/>
      <c r="K7" s="18"/>
      <c r="L7" s="18"/>
      <c r="M7" s="18"/>
      <c r="N7" s="17" t="s">
        <v>1738</v>
      </c>
      <c r="O7" s="42"/>
      <c r="P7" s="42"/>
      <c r="Q7" s="42"/>
      <c r="R7" s="42"/>
      <c r="S7" s="42"/>
    </row>
    <row r="8" spans="1:19" x14ac:dyDescent="0.25">
      <c r="A8" s="18"/>
      <c r="B8" s="18"/>
      <c r="C8" s="18"/>
      <c r="D8" s="18"/>
      <c r="E8" s="42"/>
      <c r="F8" s="37" t="s">
        <v>340</v>
      </c>
      <c r="G8" s="18"/>
      <c r="H8" s="18"/>
      <c r="I8" s="18"/>
      <c r="J8" s="18"/>
      <c r="K8" s="18"/>
      <c r="L8" s="18"/>
      <c r="M8" s="18"/>
      <c r="N8" s="17" t="s">
        <v>1739</v>
      </c>
      <c r="O8" s="42"/>
      <c r="P8" s="42"/>
      <c r="Q8" s="42"/>
      <c r="R8" s="42"/>
      <c r="S8" s="42"/>
    </row>
    <row r="9" spans="1:19" x14ac:dyDescent="0.25">
      <c r="A9" s="18"/>
      <c r="B9" s="18"/>
      <c r="C9" s="18"/>
      <c r="D9" s="18"/>
      <c r="E9" s="42"/>
      <c r="F9" s="37" t="s">
        <v>263</v>
      </c>
      <c r="G9" s="18"/>
      <c r="H9" s="18"/>
      <c r="I9" s="18"/>
      <c r="J9" s="18"/>
      <c r="K9" s="18"/>
      <c r="L9" s="18"/>
      <c r="M9" s="18"/>
      <c r="N9" s="18"/>
      <c r="O9" s="42"/>
      <c r="P9" s="42"/>
      <c r="Q9" s="42"/>
      <c r="R9" s="42"/>
      <c r="S9" s="42"/>
    </row>
    <row r="10" spans="1:19" x14ac:dyDescent="0.25">
      <c r="A10" s="18"/>
      <c r="B10" s="18"/>
      <c r="C10" s="18"/>
      <c r="D10" s="18"/>
      <c r="E10" s="42"/>
      <c r="F10" s="38" t="s">
        <v>198</v>
      </c>
      <c r="G10" s="18"/>
      <c r="H10" s="18"/>
      <c r="I10" s="18"/>
      <c r="J10" s="18"/>
      <c r="K10" s="18"/>
      <c r="L10" s="18"/>
      <c r="M10" s="18"/>
      <c r="N10" s="18"/>
      <c r="O10" s="42"/>
      <c r="P10" s="42"/>
      <c r="Q10" s="42"/>
      <c r="R10" s="42"/>
      <c r="S10" s="42"/>
    </row>
    <row r="11" spans="1:19" x14ac:dyDescent="0.25">
      <c r="A11" s="18"/>
      <c r="B11" s="18"/>
      <c r="C11" s="18"/>
      <c r="D11" s="18"/>
      <c r="E11" s="42"/>
      <c r="F11" s="36" t="s">
        <v>228</v>
      </c>
      <c r="G11" s="18"/>
      <c r="H11" s="18"/>
      <c r="I11" s="18"/>
      <c r="J11" s="18"/>
      <c r="K11" s="18"/>
      <c r="L11" s="18"/>
      <c r="M11" s="18"/>
      <c r="N11" s="18"/>
      <c r="O11" s="42"/>
      <c r="P11" s="42"/>
      <c r="Q11" s="42"/>
      <c r="R11" s="42"/>
      <c r="S11" s="42"/>
    </row>
    <row r="12" spans="1:19" x14ac:dyDescent="0.25">
      <c r="A12" s="18"/>
      <c r="B12" s="18"/>
      <c r="C12" s="18"/>
      <c r="D12" s="18"/>
      <c r="E12" s="42"/>
      <c r="F12" s="37" t="s">
        <v>73</v>
      </c>
      <c r="G12" s="18"/>
      <c r="H12" s="18"/>
      <c r="I12" s="18"/>
      <c r="J12" s="18"/>
      <c r="K12" s="18"/>
      <c r="L12" s="18"/>
      <c r="M12" s="18"/>
      <c r="N12" s="18"/>
      <c r="O12" s="42"/>
      <c r="P12" s="42"/>
      <c r="R12" s="42"/>
      <c r="S12" s="42"/>
    </row>
    <row r="13" spans="1:19" x14ac:dyDescent="0.25">
      <c r="E13" s="173"/>
      <c r="F13" s="37" t="s">
        <v>74</v>
      </c>
      <c r="O13" s="45"/>
      <c r="P13" s="173"/>
      <c r="R13" s="45"/>
      <c r="S13" s="45"/>
    </row>
    <row r="14" spans="1:19" x14ac:dyDescent="0.25">
      <c r="E14" s="173"/>
      <c r="F14" s="37" t="s">
        <v>75</v>
      </c>
      <c r="O14" s="45"/>
      <c r="P14" s="173"/>
      <c r="Q14" s="45"/>
      <c r="R14" s="45"/>
      <c r="S14" s="45"/>
    </row>
    <row r="15" spans="1:19" x14ac:dyDescent="0.25">
      <c r="E15" s="173"/>
      <c r="F15" s="38" t="s">
        <v>199</v>
      </c>
      <c r="O15" s="45"/>
      <c r="P15" s="173"/>
      <c r="Q15" s="45"/>
      <c r="R15" s="45"/>
      <c r="S15" s="45"/>
    </row>
    <row r="16" spans="1:19" x14ac:dyDescent="0.25">
      <c r="E16" s="173"/>
      <c r="F16" s="36" t="s">
        <v>200</v>
      </c>
      <c r="O16" s="45"/>
      <c r="P16" s="173"/>
      <c r="Q16" s="45"/>
      <c r="R16" s="45"/>
      <c r="S16" s="45"/>
    </row>
    <row r="17" spans="5:19" x14ac:dyDescent="0.25">
      <c r="E17" s="173"/>
      <c r="F17" s="37" t="s">
        <v>76</v>
      </c>
      <c r="O17" s="45"/>
      <c r="P17" s="173"/>
      <c r="Q17" s="45"/>
      <c r="R17" s="45"/>
      <c r="S17" s="45"/>
    </row>
    <row r="18" spans="5:19" x14ac:dyDescent="0.25">
      <c r="E18" s="173"/>
      <c r="F18" s="36" t="s">
        <v>201</v>
      </c>
      <c r="O18" s="45"/>
      <c r="P18" s="173"/>
      <c r="Q18" s="45"/>
      <c r="R18" s="45"/>
      <c r="S18" s="45"/>
    </row>
    <row r="19" spans="5:19" x14ac:dyDescent="0.25">
      <c r="E19" s="173"/>
      <c r="F19" s="47" t="s">
        <v>1033</v>
      </c>
      <c r="O19" s="45"/>
      <c r="P19" s="173"/>
      <c r="Q19" s="45"/>
      <c r="R19" s="45"/>
      <c r="S19" s="45"/>
    </row>
  </sheetData>
  <mergeCells count="1">
    <mergeCell ref="A1:S1"/>
  </mergeCells>
  <pageMargins left="0.7" right="0.7" top="0.75" bottom="0.75" header="0.3" footer="0.3"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32"/>
  <sheetViews>
    <sheetView showGridLines="0" topLeftCell="F1" zoomScale="85" zoomScaleNormal="85" workbookViewId="0">
      <selection activeCell="Q15" sqref="Q15"/>
    </sheetView>
  </sheetViews>
  <sheetFormatPr defaultRowHeight="15" x14ac:dyDescent="0.25"/>
  <cols>
    <col min="1" max="1" width="14.140625" bestFit="1" customWidth="1"/>
    <col min="2" max="2" width="15.140625" bestFit="1" customWidth="1"/>
    <col min="3" max="3" width="25" bestFit="1" customWidth="1"/>
    <col min="4" max="4" width="17.5703125" bestFit="1" customWidth="1"/>
    <col min="5" max="5" width="16.5703125" bestFit="1" customWidth="1"/>
    <col min="6" max="6" width="29" bestFit="1" customWidth="1"/>
    <col min="7" max="7" width="10.7109375" bestFit="1" customWidth="1"/>
    <col min="8" max="8" width="10.42578125" bestFit="1" customWidth="1"/>
    <col min="9" max="9" width="16.85546875" bestFit="1" customWidth="1"/>
    <col min="10" max="10" width="15.5703125" bestFit="1" customWidth="1"/>
    <col min="11" max="11" width="20.42578125" bestFit="1" customWidth="1"/>
    <col min="12" max="12" width="21.42578125" bestFit="1" customWidth="1"/>
    <col min="13" max="13" width="28.5703125" bestFit="1" customWidth="1"/>
    <col min="14" max="14" width="16.28515625" bestFit="1" customWidth="1"/>
    <col min="15" max="15" width="20.42578125" style="173" bestFit="1" customWidth="1"/>
    <col min="16" max="16" width="14.140625" bestFit="1" customWidth="1"/>
    <col min="17" max="17" width="29" bestFit="1" customWidth="1"/>
    <col min="18" max="18" width="16.7109375" bestFit="1" customWidth="1"/>
    <col min="19" max="19" width="18.85546875" bestFit="1" customWidth="1"/>
  </cols>
  <sheetData>
    <row r="1" spans="1:19" x14ac:dyDescent="0.25">
      <c r="A1" s="245" t="s">
        <v>118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</row>
    <row r="2" spans="1:19" x14ac:dyDescent="0.25">
      <c r="A2" s="17" t="s">
        <v>38</v>
      </c>
      <c r="B2" s="17" t="s">
        <v>39</v>
      </c>
      <c r="C2" s="17" t="s">
        <v>81</v>
      </c>
      <c r="D2" s="17" t="s">
        <v>82</v>
      </c>
      <c r="E2" s="17" t="s">
        <v>1420</v>
      </c>
      <c r="F2" s="17" t="s">
        <v>68</v>
      </c>
      <c r="G2" s="17" t="s">
        <v>114</v>
      </c>
      <c r="H2" s="17" t="s">
        <v>115</v>
      </c>
      <c r="I2" s="17" t="s">
        <v>116</v>
      </c>
      <c r="J2" s="17" t="s">
        <v>312</v>
      </c>
      <c r="K2" s="17" t="s">
        <v>313</v>
      </c>
      <c r="L2" s="17" t="s">
        <v>314</v>
      </c>
      <c r="M2" s="17" t="s">
        <v>315</v>
      </c>
      <c r="N2" s="17" t="s">
        <v>316</v>
      </c>
      <c r="O2" s="17" t="s">
        <v>1436</v>
      </c>
      <c r="P2" s="17" t="s">
        <v>374</v>
      </c>
      <c r="Q2" s="17" t="s">
        <v>375</v>
      </c>
      <c r="R2" s="17" t="s">
        <v>376</v>
      </c>
      <c r="S2" s="17" t="s">
        <v>1596</v>
      </c>
    </row>
    <row r="3" spans="1:19" x14ac:dyDescent="0.25">
      <c r="A3" s="1" t="s">
        <v>19</v>
      </c>
      <c r="B3" s="1" t="s">
        <v>48</v>
      </c>
      <c r="C3" s="18" t="s">
        <v>124</v>
      </c>
      <c r="D3" s="1" t="s">
        <v>83</v>
      </c>
      <c r="E3" s="174" t="s">
        <v>1413</v>
      </c>
      <c r="F3" s="40" t="s">
        <v>69</v>
      </c>
      <c r="G3" s="59" t="s">
        <v>1578</v>
      </c>
      <c r="H3" s="18"/>
      <c r="I3" s="18" t="s">
        <v>355</v>
      </c>
      <c r="J3" t="s">
        <v>327</v>
      </c>
      <c r="K3" s="174" t="s">
        <v>1137</v>
      </c>
      <c r="L3" s="18" t="s">
        <v>1438</v>
      </c>
      <c r="M3" s="18" t="s">
        <v>1090</v>
      </c>
      <c r="N3" s="17" t="s">
        <v>310</v>
      </c>
      <c r="O3" s="17" t="s">
        <v>1435</v>
      </c>
      <c r="P3" s="17" t="s">
        <v>1428</v>
      </c>
      <c r="Q3" s="17" t="s">
        <v>1748</v>
      </c>
      <c r="R3" s="17" t="s">
        <v>1706</v>
      </c>
      <c r="S3" s="17" t="s">
        <v>1708</v>
      </c>
    </row>
    <row r="4" spans="1:19" x14ac:dyDescent="0.25">
      <c r="A4" s="1" t="s">
        <v>20</v>
      </c>
      <c r="B4" s="1" t="s">
        <v>46</v>
      </c>
      <c r="C4" s="18" t="s">
        <v>130</v>
      </c>
      <c r="D4" s="1" t="s">
        <v>84</v>
      </c>
      <c r="E4" s="174"/>
      <c r="F4" s="40" t="s">
        <v>70</v>
      </c>
      <c r="G4" s="42"/>
      <c r="H4" s="18"/>
      <c r="I4" s="42" t="s">
        <v>1416</v>
      </c>
      <c r="J4" t="s">
        <v>71</v>
      </c>
      <c r="K4" s="174" t="s">
        <v>1142</v>
      </c>
      <c r="L4" s="18" t="s">
        <v>1712</v>
      </c>
      <c r="M4" s="218" t="s">
        <v>1733</v>
      </c>
      <c r="N4" s="17" t="s">
        <v>403</v>
      </c>
      <c r="O4" s="17" t="s">
        <v>1684</v>
      </c>
      <c r="P4" s="17" t="s">
        <v>1440</v>
      </c>
      <c r="Q4" s="42"/>
      <c r="R4" s="42"/>
      <c r="S4" s="42"/>
    </row>
    <row r="5" spans="1:19" x14ac:dyDescent="0.25">
      <c r="A5" s="1" t="s">
        <v>12</v>
      </c>
      <c r="B5" s="1" t="s">
        <v>49</v>
      </c>
      <c r="C5" s="18" t="s">
        <v>138</v>
      </c>
      <c r="D5" s="1" t="s">
        <v>85</v>
      </c>
      <c r="E5" s="174"/>
      <c r="F5" s="40" t="s">
        <v>71</v>
      </c>
      <c r="G5" s="18"/>
      <c r="H5" s="18"/>
      <c r="I5" s="18" t="s">
        <v>1659</v>
      </c>
      <c r="J5" s="173" t="s">
        <v>1083</v>
      </c>
      <c r="K5" s="174" t="s">
        <v>1152</v>
      </c>
      <c r="L5" s="18"/>
      <c r="M5" s="18"/>
      <c r="N5" s="17" t="s">
        <v>1683</v>
      </c>
      <c r="O5" s="17"/>
      <c r="P5" s="17" t="s">
        <v>1620</v>
      </c>
      <c r="Q5" s="42"/>
      <c r="R5" s="42"/>
      <c r="S5" s="42"/>
    </row>
    <row r="6" spans="1:19" x14ac:dyDescent="0.25">
      <c r="A6" s="1" t="s">
        <v>21</v>
      </c>
      <c r="B6" s="1" t="s">
        <v>50</v>
      </c>
      <c r="C6" s="18"/>
      <c r="D6" s="1" t="s">
        <v>86</v>
      </c>
      <c r="E6" s="174"/>
      <c r="F6" s="41" t="s">
        <v>202</v>
      </c>
      <c r="G6" s="18"/>
      <c r="H6" s="18"/>
      <c r="I6" s="18" t="s">
        <v>1677</v>
      </c>
      <c r="J6" s="173" t="s">
        <v>1090</v>
      </c>
      <c r="K6" s="174" t="s">
        <v>327</v>
      </c>
      <c r="L6" s="18"/>
      <c r="M6" s="18"/>
      <c r="N6" s="17" t="s">
        <v>1730</v>
      </c>
      <c r="O6" s="42"/>
      <c r="P6" s="17" t="s">
        <v>1673</v>
      </c>
      <c r="Q6" s="42"/>
      <c r="R6" s="42"/>
      <c r="S6" s="42"/>
    </row>
    <row r="7" spans="1:19" x14ac:dyDescent="0.25">
      <c r="A7" s="1" t="s">
        <v>22</v>
      </c>
      <c r="B7" s="1" t="s">
        <v>62</v>
      </c>
      <c r="C7" s="18"/>
      <c r="D7" s="1" t="s">
        <v>87</v>
      </c>
      <c r="E7" s="174"/>
      <c r="F7" s="41" t="s">
        <v>203</v>
      </c>
      <c r="G7" s="18"/>
      <c r="H7" s="18"/>
      <c r="I7" s="18" t="s">
        <v>1695</v>
      </c>
      <c r="J7" s="173" t="s">
        <v>1098</v>
      </c>
      <c r="K7" s="174"/>
      <c r="L7" s="18"/>
      <c r="M7" s="18"/>
      <c r="N7" s="17" t="s">
        <v>1735</v>
      </c>
      <c r="O7" s="42"/>
      <c r="P7" s="42"/>
      <c r="Q7" s="42"/>
      <c r="R7" s="42"/>
      <c r="S7" s="42"/>
    </row>
    <row r="8" spans="1:19" x14ac:dyDescent="0.25">
      <c r="A8" s="1" t="s">
        <v>1419</v>
      </c>
      <c r="B8" s="17" t="s">
        <v>937</v>
      </c>
      <c r="C8" s="18"/>
      <c r="D8" s="1" t="s">
        <v>99</v>
      </c>
      <c r="E8" s="174"/>
      <c r="F8" s="41" t="s">
        <v>204</v>
      </c>
      <c r="G8" s="18"/>
      <c r="H8" s="18"/>
      <c r="I8" s="18" t="s">
        <v>1717</v>
      </c>
      <c r="J8" s="173" t="s">
        <v>1102</v>
      </c>
      <c r="K8" s="174"/>
      <c r="L8" s="18"/>
      <c r="M8" s="18"/>
      <c r="N8" s="174" t="s">
        <v>1740</v>
      </c>
      <c r="O8" s="42"/>
      <c r="P8" s="42"/>
      <c r="Q8" s="42"/>
      <c r="R8" s="42"/>
      <c r="S8" s="42"/>
    </row>
    <row r="9" spans="1:19" x14ac:dyDescent="0.25">
      <c r="A9" s="174" t="s">
        <v>23</v>
      </c>
      <c r="B9" s="18"/>
      <c r="C9" s="18"/>
      <c r="D9" s="18"/>
      <c r="E9" s="42"/>
      <c r="F9" s="41" t="s">
        <v>205</v>
      </c>
      <c r="G9" s="18"/>
      <c r="H9" s="18"/>
      <c r="I9" s="18" t="s">
        <v>1718</v>
      </c>
      <c r="J9" s="173"/>
      <c r="K9" s="18"/>
      <c r="L9" s="18"/>
      <c r="M9" s="18"/>
      <c r="N9" s="17" t="s">
        <v>1741</v>
      </c>
      <c r="O9" s="42"/>
      <c r="P9" s="42"/>
      <c r="Q9" s="42"/>
      <c r="R9" s="42"/>
      <c r="S9" s="42"/>
    </row>
    <row r="10" spans="1:19" x14ac:dyDescent="0.25">
      <c r="A10" s="174" t="s">
        <v>24</v>
      </c>
      <c r="B10" s="18"/>
      <c r="C10" s="18"/>
      <c r="D10" s="18"/>
      <c r="E10" s="42"/>
      <c r="F10" s="41" t="s">
        <v>206</v>
      </c>
      <c r="G10" s="18"/>
      <c r="H10" s="18"/>
      <c r="I10" s="18"/>
      <c r="J10" s="18"/>
      <c r="K10" s="18"/>
      <c r="L10" s="18"/>
      <c r="M10" s="18"/>
      <c r="N10" s="18"/>
      <c r="O10" s="42"/>
      <c r="P10" s="42"/>
      <c r="Q10" s="42"/>
      <c r="R10" s="42"/>
      <c r="S10" s="42"/>
    </row>
    <row r="11" spans="1:19" x14ac:dyDescent="0.25">
      <c r="A11" s="174" t="s">
        <v>25</v>
      </c>
      <c r="B11" s="18"/>
      <c r="C11" s="18"/>
      <c r="D11" s="18"/>
      <c r="E11" s="42"/>
      <c r="F11" s="41" t="s">
        <v>207</v>
      </c>
      <c r="G11" s="18"/>
      <c r="H11" s="18"/>
      <c r="I11" s="18"/>
      <c r="J11" s="18"/>
      <c r="K11" s="18"/>
      <c r="L11" s="18"/>
      <c r="M11" s="18"/>
      <c r="N11" s="18"/>
      <c r="O11" s="42"/>
      <c r="P11" s="42"/>
      <c r="Q11" s="42"/>
      <c r="R11" s="42"/>
      <c r="S11" s="42"/>
    </row>
    <row r="12" spans="1:19" x14ac:dyDescent="0.25">
      <c r="A12" s="18"/>
      <c r="B12" s="18"/>
      <c r="C12" s="18"/>
      <c r="D12" s="18"/>
      <c r="E12" s="42"/>
      <c r="F12" s="41" t="s">
        <v>208</v>
      </c>
      <c r="G12" s="18"/>
      <c r="H12" s="18"/>
      <c r="I12" s="18"/>
      <c r="J12" s="18"/>
      <c r="K12" s="18"/>
      <c r="L12" s="18"/>
      <c r="M12" s="18"/>
      <c r="N12" s="18"/>
      <c r="O12" s="42"/>
      <c r="P12" s="42"/>
      <c r="Q12" s="42"/>
      <c r="R12" s="42"/>
      <c r="S12" s="42"/>
    </row>
    <row r="13" spans="1:19" x14ac:dyDescent="0.25">
      <c r="E13" s="173"/>
      <c r="F13" s="39" t="s">
        <v>209</v>
      </c>
      <c r="P13" s="45"/>
      <c r="Q13" s="45"/>
      <c r="R13" s="45"/>
      <c r="S13" s="45"/>
    </row>
    <row r="14" spans="1:19" x14ac:dyDescent="0.25">
      <c r="E14" s="173"/>
      <c r="F14" s="39" t="s">
        <v>210</v>
      </c>
      <c r="P14" s="45"/>
      <c r="Q14" s="45"/>
      <c r="R14" s="45"/>
      <c r="S14" s="45"/>
    </row>
    <row r="15" spans="1:19" x14ac:dyDescent="0.25">
      <c r="E15" s="173"/>
      <c r="F15" s="39" t="s">
        <v>211</v>
      </c>
      <c r="P15" s="45"/>
      <c r="Q15" s="45"/>
      <c r="R15" s="45"/>
      <c r="S15" s="45"/>
    </row>
    <row r="16" spans="1:19" x14ac:dyDescent="0.25">
      <c r="E16" s="173"/>
      <c r="F16" s="39" t="s">
        <v>212</v>
      </c>
      <c r="P16" s="45"/>
      <c r="Q16" s="45"/>
      <c r="R16" s="45"/>
      <c r="S16" s="45"/>
    </row>
    <row r="17" spans="5:19" x14ac:dyDescent="0.25">
      <c r="E17" s="173"/>
      <c r="F17" s="39" t="s">
        <v>213</v>
      </c>
      <c r="P17" s="45"/>
      <c r="Q17" s="45"/>
      <c r="R17" s="45"/>
      <c r="S17" s="45"/>
    </row>
    <row r="18" spans="5:19" x14ac:dyDescent="0.25">
      <c r="E18" s="173"/>
      <c r="F18" s="39" t="s">
        <v>214</v>
      </c>
      <c r="P18" s="45"/>
      <c r="Q18" s="45"/>
      <c r="R18" s="45"/>
      <c r="S18" s="45"/>
    </row>
    <row r="19" spans="5:19" x14ac:dyDescent="0.25">
      <c r="E19" s="173"/>
      <c r="F19" s="39" t="s">
        <v>215</v>
      </c>
      <c r="P19" s="45"/>
      <c r="Q19" s="45"/>
      <c r="R19" s="45"/>
      <c r="S19" s="45"/>
    </row>
    <row r="20" spans="5:19" x14ac:dyDescent="0.25">
      <c r="E20" s="173"/>
      <c r="F20" s="39" t="s">
        <v>216</v>
      </c>
      <c r="P20" s="45"/>
      <c r="Q20" s="45"/>
      <c r="R20" s="45"/>
      <c r="S20" s="45"/>
    </row>
    <row r="21" spans="5:19" x14ac:dyDescent="0.25">
      <c r="E21" s="173"/>
      <c r="F21" s="39" t="s">
        <v>217</v>
      </c>
      <c r="P21" s="45"/>
      <c r="Q21" s="45"/>
      <c r="R21" s="45"/>
      <c r="S21" s="45"/>
    </row>
    <row r="22" spans="5:19" x14ac:dyDescent="0.25">
      <c r="E22" s="173"/>
      <c r="F22" s="39" t="s">
        <v>327</v>
      </c>
      <c r="P22" s="45"/>
      <c r="Q22" s="45"/>
      <c r="R22" s="45"/>
      <c r="S22" s="45"/>
    </row>
    <row r="23" spans="5:19" x14ac:dyDescent="0.25">
      <c r="E23" s="173"/>
      <c r="F23" s="39" t="s">
        <v>218</v>
      </c>
      <c r="P23" s="45"/>
      <c r="Q23" s="45"/>
      <c r="R23" s="45"/>
      <c r="S23" s="45"/>
    </row>
    <row r="24" spans="5:19" x14ac:dyDescent="0.25">
      <c r="E24" s="173"/>
      <c r="F24" s="39" t="s">
        <v>219</v>
      </c>
      <c r="P24" s="45"/>
      <c r="Q24" s="45"/>
      <c r="R24" s="45"/>
      <c r="S24" s="45"/>
    </row>
    <row r="25" spans="5:19" x14ac:dyDescent="0.25">
      <c r="E25" s="173"/>
      <c r="F25" s="39" t="s">
        <v>220</v>
      </c>
      <c r="P25" s="45"/>
      <c r="Q25" s="45"/>
      <c r="R25" s="45"/>
      <c r="S25" s="45"/>
    </row>
    <row r="26" spans="5:19" x14ac:dyDescent="0.25">
      <c r="E26" s="173"/>
      <c r="F26" s="39" t="s">
        <v>221</v>
      </c>
      <c r="P26" s="45"/>
      <c r="Q26" s="45"/>
      <c r="R26" s="45"/>
      <c r="S26" s="45"/>
    </row>
    <row r="27" spans="5:19" x14ac:dyDescent="0.25">
      <c r="E27" s="173"/>
      <c r="F27" s="40" t="s">
        <v>227</v>
      </c>
      <c r="P27" s="45"/>
      <c r="Q27" s="45"/>
      <c r="R27" s="45"/>
      <c r="S27" s="45"/>
    </row>
    <row r="28" spans="5:19" x14ac:dyDescent="0.25">
      <c r="E28" s="173"/>
      <c r="F28" s="40" t="s">
        <v>246</v>
      </c>
      <c r="P28" s="45"/>
      <c r="Q28" s="45"/>
      <c r="R28" s="45"/>
      <c r="S28" s="45"/>
    </row>
    <row r="29" spans="5:19" x14ac:dyDescent="0.25">
      <c r="E29" s="173"/>
      <c r="F29" s="40" t="s">
        <v>301</v>
      </c>
      <c r="P29" s="45"/>
      <c r="Q29" s="45"/>
      <c r="R29" s="45"/>
      <c r="S29" s="45"/>
    </row>
    <row r="30" spans="5:19" x14ac:dyDescent="0.25">
      <c r="E30" s="173"/>
      <c r="F30" s="40" t="s">
        <v>341</v>
      </c>
      <c r="P30" s="45"/>
      <c r="Q30" s="45"/>
      <c r="R30" s="45"/>
      <c r="S30" s="45"/>
    </row>
    <row r="31" spans="5:19" x14ac:dyDescent="0.25">
      <c r="F31" s="47" t="s">
        <v>1575</v>
      </c>
    </row>
    <row r="32" spans="5:19" x14ac:dyDescent="0.25">
      <c r="F32" s="47" t="s">
        <v>1216</v>
      </c>
    </row>
  </sheetData>
  <mergeCells count="1">
    <mergeCell ref="A1:S1"/>
  </mergeCells>
  <pageMargins left="0.7" right="0.7" top="0.75" bottom="0.75" header="0.3" footer="0.3"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21"/>
  <sheetViews>
    <sheetView showGridLines="0" topLeftCell="H1" zoomScaleNormal="100" workbookViewId="0">
      <selection activeCell="Q10" sqref="Q10"/>
    </sheetView>
  </sheetViews>
  <sheetFormatPr defaultRowHeight="15" x14ac:dyDescent="0.25"/>
  <cols>
    <col min="1" max="1" width="14.7109375" customWidth="1"/>
    <col min="2" max="2" width="14.7109375" bestFit="1" customWidth="1"/>
    <col min="3" max="3" width="13.85546875" bestFit="1" customWidth="1"/>
    <col min="4" max="4" width="17.28515625" bestFit="1" customWidth="1"/>
    <col min="5" max="5" width="10.5703125" bestFit="1" customWidth="1"/>
    <col min="6" max="6" width="23.28515625" bestFit="1" customWidth="1"/>
    <col min="7" max="7" width="10.7109375" bestFit="1" customWidth="1"/>
    <col min="8" max="8" width="10.42578125" bestFit="1" customWidth="1"/>
    <col min="10" max="10" width="15.5703125" bestFit="1" customWidth="1"/>
    <col min="11" max="11" width="12.85546875" bestFit="1" customWidth="1"/>
    <col min="12" max="12" width="21.42578125" bestFit="1" customWidth="1"/>
    <col min="13" max="13" width="28.5703125" bestFit="1" customWidth="1"/>
    <col min="14" max="14" width="15.42578125" bestFit="1" customWidth="1"/>
    <col min="15" max="15" width="20.42578125" style="173" bestFit="1" customWidth="1"/>
    <col min="16" max="16" width="18.28515625" bestFit="1" customWidth="1"/>
    <col min="17" max="17" width="29" bestFit="1" customWidth="1"/>
    <col min="18" max="18" width="14.28515625" bestFit="1" customWidth="1"/>
    <col min="19" max="19" width="9.85546875" bestFit="1" customWidth="1"/>
  </cols>
  <sheetData>
    <row r="1" spans="1:19" x14ac:dyDescent="0.25">
      <c r="A1" s="246" t="s">
        <v>119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</row>
    <row r="2" spans="1:19" x14ac:dyDescent="0.25">
      <c r="A2" s="17" t="s">
        <v>38</v>
      </c>
      <c r="B2" s="17" t="s">
        <v>39</v>
      </c>
      <c r="C2" s="17" t="s">
        <v>81</v>
      </c>
      <c r="D2" s="17" t="s">
        <v>82</v>
      </c>
      <c r="E2" s="17" t="s">
        <v>1420</v>
      </c>
      <c r="F2" s="17" t="s">
        <v>68</v>
      </c>
      <c r="G2" s="17" t="s">
        <v>114</v>
      </c>
      <c r="H2" s="17" t="s">
        <v>115</v>
      </c>
      <c r="I2" s="17" t="s">
        <v>116</v>
      </c>
      <c r="J2" s="17" t="s">
        <v>312</v>
      </c>
      <c r="K2" s="17" t="s">
        <v>313</v>
      </c>
      <c r="L2" s="17" t="s">
        <v>314</v>
      </c>
      <c r="M2" s="17" t="s">
        <v>315</v>
      </c>
      <c r="N2" s="17" t="s">
        <v>316</v>
      </c>
      <c r="O2" s="17" t="s">
        <v>1436</v>
      </c>
      <c r="P2" s="17" t="s">
        <v>374</v>
      </c>
      <c r="Q2" s="17" t="s">
        <v>375</v>
      </c>
      <c r="R2" s="17" t="s">
        <v>376</v>
      </c>
      <c r="S2" s="17" t="s">
        <v>377</v>
      </c>
    </row>
    <row r="3" spans="1:19" x14ac:dyDescent="0.25">
      <c r="A3" s="1" t="s">
        <v>26</v>
      </c>
      <c r="B3" s="46" t="s">
        <v>53</v>
      </c>
      <c r="C3" s="18" t="s">
        <v>26</v>
      </c>
      <c r="D3" s="1" t="s">
        <v>56</v>
      </c>
      <c r="E3" s="174" t="s">
        <v>56</v>
      </c>
      <c r="F3" s="42" t="s">
        <v>170</v>
      </c>
      <c r="G3" s="18" t="s">
        <v>34</v>
      </c>
      <c r="H3" s="18"/>
      <c r="I3" s="18" t="s">
        <v>354</v>
      </c>
      <c r="J3" s="18" t="s">
        <v>170</v>
      </c>
      <c r="K3" s="42" t="s">
        <v>222</v>
      </c>
      <c r="L3" s="18" t="s">
        <v>68</v>
      </c>
      <c r="M3" s="18" t="s">
        <v>222</v>
      </c>
      <c r="N3" s="17" t="s">
        <v>317</v>
      </c>
      <c r="O3" s="17" t="s">
        <v>1445</v>
      </c>
      <c r="P3" s="17" t="s">
        <v>1429</v>
      </c>
      <c r="Q3" s="17" t="s">
        <v>373</v>
      </c>
      <c r="R3" s="17"/>
      <c r="S3" s="17"/>
    </row>
    <row r="4" spans="1:19" x14ac:dyDescent="0.25">
      <c r="A4" s="1" t="s">
        <v>27</v>
      </c>
      <c r="B4" s="46" t="s">
        <v>56</v>
      </c>
      <c r="C4" s="18" t="s">
        <v>30</v>
      </c>
      <c r="D4" s="1" t="s">
        <v>35</v>
      </c>
      <c r="E4" s="174" t="s">
        <v>35</v>
      </c>
      <c r="F4" s="42" t="s">
        <v>34</v>
      </c>
      <c r="G4" s="42"/>
      <c r="H4" s="18"/>
      <c r="I4" s="18" t="s">
        <v>1463</v>
      </c>
      <c r="J4" s="18" t="s">
        <v>222</v>
      </c>
      <c r="K4" s="42" t="s">
        <v>68</v>
      </c>
      <c r="L4" s="18" t="s">
        <v>1714</v>
      </c>
      <c r="M4" s="18"/>
      <c r="N4" s="17" t="s">
        <v>404</v>
      </c>
      <c r="O4" s="17" t="s">
        <v>1685</v>
      </c>
      <c r="P4" s="17" t="s">
        <v>170</v>
      </c>
      <c r="Q4" s="17" t="s">
        <v>1750</v>
      </c>
      <c r="R4" s="42"/>
      <c r="S4" s="42"/>
    </row>
    <row r="5" spans="1:19" x14ac:dyDescent="0.25">
      <c r="A5" s="1" t="s">
        <v>28</v>
      </c>
      <c r="B5" s="46" t="s">
        <v>32</v>
      </c>
      <c r="C5" s="18" t="s">
        <v>132</v>
      </c>
      <c r="D5" s="1" t="s">
        <v>27</v>
      </c>
      <c r="E5" s="174" t="s">
        <v>1424</v>
      </c>
      <c r="F5" s="42" t="s">
        <v>222</v>
      </c>
      <c r="G5" s="18"/>
      <c r="H5" s="18"/>
      <c r="I5" s="18" t="s">
        <v>1464</v>
      </c>
      <c r="J5" s="42" t="s">
        <v>68</v>
      </c>
      <c r="K5" s="173" t="s">
        <v>317</v>
      </c>
      <c r="L5" s="18"/>
      <c r="M5" s="18"/>
      <c r="N5" s="17" t="s">
        <v>1731</v>
      </c>
      <c r="O5" s="42"/>
      <c r="P5" s="42"/>
      <c r="Q5" s="42"/>
      <c r="R5" s="42"/>
      <c r="S5" s="42"/>
    </row>
    <row r="6" spans="1:19" x14ac:dyDescent="0.25">
      <c r="A6" s="1" t="s">
        <v>37</v>
      </c>
      <c r="B6" s="46" t="s">
        <v>37</v>
      </c>
      <c r="C6" s="18"/>
      <c r="D6" s="18"/>
      <c r="E6" s="42"/>
      <c r="F6" s="42" t="s">
        <v>223</v>
      </c>
      <c r="G6" s="18"/>
      <c r="H6" s="18"/>
      <c r="I6" s="18"/>
      <c r="J6" s="173" t="s">
        <v>317</v>
      </c>
      <c r="K6" s="173" t="s">
        <v>1162</v>
      </c>
      <c r="L6" s="18"/>
      <c r="M6" s="18"/>
      <c r="N6" s="17" t="s">
        <v>68</v>
      </c>
      <c r="O6" s="42"/>
      <c r="P6" s="42"/>
      <c r="Q6" s="42"/>
      <c r="R6" s="42"/>
      <c r="S6" s="42"/>
    </row>
    <row r="7" spans="1:19" x14ac:dyDescent="0.25">
      <c r="A7" s="1" t="s">
        <v>29</v>
      </c>
      <c r="B7" s="90" t="s">
        <v>913</v>
      </c>
      <c r="C7" s="18"/>
      <c r="D7" s="18"/>
      <c r="E7" s="42"/>
      <c r="F7" s="42" t="s">
        <v>68</v>
      </c>
      <c r="G7" s="18"/>
      <c r="H7" s="18"/>
      <c r="I7" s="18"/>
      <c r="J7" s="173" t="s">
        <v>1701</v>
      </c>
      <c r="K7" s="18"/>
      <c r="L7" s="18"/>
      <c r="M7" s="18"/>
      <c r="N7" s="18"/>
      <c r="O7" s="42"/>
      <c r="P7" s="42"/>
      <c r="Q7" s="42"/>
      <c r="R7" s="42"/>
      <c r="S7" s="42"/>
    </row>
    <row r="8" spans="1:19" x14ac:dyDescent="0.25">
      <c r="A8" s="1" t="s">
        <v>30</v>
      </c>
      <c r="B8" s="90" t="s">
        <v>30</v>
      </c>
      <c r="C8" s="18"/>
      <c r="D8" s="18"/>
      <c r="E8" s="42"/>
      <c r="F8" s="42" t="s">
        <v>224</v>
      </c>
      <c r="G8" s="18"/>
      <c r="H8" s="18"/>
      <c r="I8" s="18"/>
      <c r="J8" s="18"/>
      <c r="K8" s="18"/>
      <c r="L8" s="18"/>
      <c r="M8" s="18"/>
      <c r="N8" s="18"/>
      <c r="O8" s="42"/>
      <c r="P8" s="42"/>
      <c r="Q8" s="42"/>
      <c r="R8" s="42"/>
      <c r="S8" s="42"/>
    </row>
    <row r="9" spans="1:19" x14ac:dyDescent="0.25">
      <c r="A9" s="1" t="s">
        <v>31</v>
      </c>
      <c r="B9" s="90" t="s">
        <v>958</v>
      </c>
      <c r="C9" s="18"/>
      <c r="D9" s="18"/>
      <c r="E9" s="42"/>
      <c r="F9" s="42" t="s">
        <v>225</v>
      </c>
      <c r="G9" s="18"/>
      <c r="H9" s="18"/>
      <c r="I9" s="18"/>
      <c r="J9" s="18"/>
      <c r="K9" s="18"/>
      <c r="L9" s="18"/>
      <c r="M9" s="18"/>
      <c r="N9" s="18"/>
      <c r="O9" s="42"/>
      <c r="P9" s="42"/>
      <c r="Q9" s="42"/>
      <c r="R9" s="42"/>
      <c r="S9" s="42"/>
    </row>
    <row r="10" spans="1:19" x14ac:dyDescent="0.25">
      <c r="A10" s="1" t="s">
        <v>32</v>
      </c>
      <c r="B10" s="90" t="s">
        <v>36</v>
      </c>
      <c r="C10" s="18"/>
      <c r="D10" s="18"/>
      <c r="E10" s="42"/>
      <c r="F10" s="42" t="s">
        <v>36</v>
      </c>
      <c r="G10" s="18"/>
      <c r="H10" s="18"/>
      <c r="I10" s="18"/>
      <c r="J10" s="18"/>
      <c r="K10" s="18"/>
      <c r="L10" s="18"/>
      <c r="M10" s="18"/>
      <c r="N10" s="18"/>
      <c r="O10" s="42"/>
      <c r="P10" s="42"/>
      <c r="Q10" s="42"/>
      <c r="R10" s="42"/>
      <c r="S10" s="42"/>
    </row>
    <row r="11" spans="1:19" x14ac:dyDescent="0.25">
      <c r="A11" s="1" t="s">
        <v>9</v>
      </c>
      <c r="B11" s="18"/>
      <c r="C11" s="18"/>
      <c r="D11" s="18"/>
      <c r="E11" s="42"/>
      <c r="F11" s="42" t="s">
        <v>242</v>
      </c>
      <c r="G11" s="18"/>
      <c r="H11" s="18"/>
      <c r="I11" s="18"/>
      <c r="J11" s="18"/>
      <c r="K11" s="18"/>
      <c r="L11" s="18"/>
      <c r="M11" s="18"/>
      <c r="N11" s="18"/>
      <c r="O11" s="42"/>
      <c r="P11" s="42"/>
      <c r="Q11" s="42"/>
      <c r="R11" s="42"/>
      <c r="S11" s="42"/>
    </row>
    <row r="12" spans="1:19" x14ac:dyDescent="0.25">
      <c r="A12" s="1" t="s">
        <v>33</v>
      </c>
      <c r="B12" s="18"/>
      <c r="C12" s="18"/>
      <c r="D12" s="18"/>
      <c r="E12" s="42"/>
      <c r="F12" s="42" t="s">
        <v>261</v>
      </c>
      <c r="G12" s="18"/>
      <c r="H12" s="18"/>
      <c r="I12" s="18"/>
      <c r="J12" s="18"/>
      <c r="K12" s="18"/>
      <c r="L12" s="18"/>
      <c r="M12" s="18"/>
      <c r="N12" s="18"/>
      <c r="O12" s="42"/>
      <c r="P12" s="42"/>
      <c r="Q12" s="42"/>
      <c r="R12" s="42"/>
      <c r="S12" s="42"/>
    </row>
    <row r="13" spans="1:19" x14ac:dyDescent="0.25">
      <c r="A13" s="1" t="s">
        <v>34</v>
      </c>
      <c r="E13" s="173"/>
      <c r="F13" s="45" t="s">
        <v>1018</v>
      </c>
      <c r="P13" s="45"/>
      <c r="Q13" s="45"/>
      <c r="R13" s="45"/>
      <c r="S13" s="45"/>
    </row>
    <row r="14" spans="1:19" x14ac:dyDescent="0.25">
      <c r="A14" s="1" t="s">
        <v>35</v>
      </c>
      <c r="E14" s="173"/>
      <c r="F14" s="173" t="s">
        <v>31</v>
      </c>
      <c r="P14" s="45"/>
      <c r="Q14" s="45"/>
      <c r="R14" s="45"/>
      <c r="S14" s="45"/>
    </row>
    <row r="15" spans="1:19" x14ac:dyDescent="0.25">
      <c r="A15" s="1" t="s">
        <v>36</v>
      </c>
      <c r="E15" s="173"/>
      <c r="F15" t="s">
        <v>1195</v>
      </c>
      <c r="P15" s="45"/>
      <c r="Q15" s="45"/>
      <c r="R15" s="45"/>
      <c r="S15" s="45"/>
    </row>
    <row r="16" spans="1:19" x14ac:dyDescent="0.25">
      <c r="A16" s="1" t="s">
        <v>65</v>
      </c>
      <c r="E16" s="173"/>
      <c r="F16" t="s">
        <v>29</v>
      </c>
      <c r="P16" s="45"/>
      <c r="Q16" s="45"/>
      <c r="R16" s="45"/>
      <c r="S16" s="45"/>
    </row>
    <row r="17" spans="1:19" x14ac:dyDescent="0.25">
      <c r="A17" s="1" t="s">
        <v>63</v>
      </c>
      <c r="E17" s="173"/>
      <c r="P17" s="45"/>
      <c r="Q17" s="45"/>
      <c r="R17" s="45"/>
      <c r="S17" s="45"/>
    </row>
    <row r="18" spans="1:19" x14ac:dyDescent="0.25">
      <c r="A18" s="1" t="s">
        <v>64</v>
      </c>
      <c r="E18" s="173"/>
      <c r="P18" s="45"/>
      <c r="Q18" s="45"/>
      <c r="R18" s="45"/>
      <c r="S18" s="45"/>
    </row>
    <row r="19" spans="1:19" x14ac:dyDescent="0.25">
      <c r="A19" s="174" t="s">
        <v>1473</v>
      </c>
    </row>
    <row r="20" spans="1:19" x14ac:dyDescent="0.25">
      <c r="A20" s="174" t="s">
        <v>1496</v>
      </c>
    </row>
    <row r="21" spans="1:19" x14ac:dyDescent="0.25">
      <c r="A21" s="174" t="s">
        <v>1536</v>
      </c>
    </row>
  </sheetData>
  <mergeCells count="1">
    <mergeCell ref="A1:S1"/>
  </mergeCells>
  <pageMargins left="0.7" right="0.7" top="0.75" bottom="0.75" header="0.3" footer="0.3"/>
  <pageSetup paperSize="9" orientation="portrait" r:id="rId1"/>
  <tableParts count="1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213"/>
  <sheetViews>
    <sheetView tabSelected="1" topLeftCell="A181" zoomScaleNormal="100" workbookViewId="0">
      <selection activeCell="D208" sqref="D208"/>
    </sheetView>
  </sheetViews>
  <sheetFormatPr defaultColWidth="9.140625" defaultRowHeight="15" x14ac:dyDescent="0.25"/>
  <cols>
    <col min="1" max="1" width="5.140625" style="180" bestFit="1" customWidth="1"/>
    <col min="2" max="2" width="11" style="194" bestFit="1" customWidth="1"/>
    <col min="3" max="3" width="11.140625" style="180" bestFit="1" customWidth="1"/>
    <col min="4" max="4" width="34.28515625" style="180" bestFit="1" customWidth="1"/>
    <col min="5" max="5" width="18.5703125" style="199" bestFit="1" customWidth="1"/>
    <col min="6" max="6" width="12.42578125" style="194" bestFit="1" customWidth="1"/>
    <col min="7" max="7" width="15" style="194" bestFit="1" customWidth="1"/>
    <col min="8" max="8" width="11.5703125" style="194" bestFit="1" customWidth="1"/>
    <col min="9" max="9" width="21.85546875" style="194" bestFit="1" customWidth="1"/>
    <col min="10" max="10" width="15.5703125" style="194" bestFit="1" customWidth="1"/>
    <col min="11" max="11" width="10.7109375" style="194" bestFit="1" customWidth="1"/>
    <col min="12" max="12" width="10" style="194" bestFit="1" customWidth="1"/>
    <col min="13" max="13" width="14.85546875" style="194" bestFit="1" customWidth="1"/>
    <col min="14" max="14" width="15" style="180" bestFit="1" customWidth="1"/>
    <col min="15" max="15" width="40.7109375" style="180" bestFit="1" customWidth="1"/>
    <col min="16" max="16384" width="9.140625" style="180"/>
  </cols>
  <sheetData>
    <row r="1" spans="1:15" x14ac:dyDescent="0.25">
      <c r="A1" s="180" t="s">
        <v>0</v>
      </c>
      <c r="B1" s="181" t="s">
        <v>67</v>
      </c>
      <c r="C1" s="180" t="s">
        <v>7</v>
      </c>
      <c r="D1" s="180" t="s">
        <v>8</v>
      </c>
      <c r="E1" s="230" t="s">
        <v>1565</v>
      </c>
      <c r="F1" s="181" t="s">
        <v>167</v>
      </c>
      <c r="G1" s="182" t="s">
        <v>1566</v>
      </c>
      <c r="H1" s="181" t="s">
        <v>18</v>
      </c>
      <c r="I1" s="181" t="s">
        <v>2</v>
      </c>
      <c r="J1" s="181" t="s">
        <v>1</v>
      </c>
      <c r="K1" s="181" t="s">
        <v>6</v>
      </c>
      <c r="L1" s="181" t="s">
        <v>5</v>
      </c>
      <c r="M1" s="181" t="s">
        <v>3</v>
      </c>
      <c r="N1" s="180" t="s">
        <v>4</v>
      </c>
      <c r="O1" s="180" t="s">
        <v>1478</v>
      </c>
    </row>
    <row r="2" spans="1:15" x14ac:dyDescent="0.25">
      <c r="A2" s="183">
        <f t="shared" ref="A2:A33" si="0">ROW()-1</f>
        <v>1</v>
      </c>
      <c r="B2" s="206" t="s">
        <v>78</v>
      </c>
      <c r="C2" s="184" t="str">
        <f t="shared" ref="C2:C65" si="1">"RES"</f>
        <v>RES</v>
      </c>
      <c r="D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100Ohm 0.5W 1% 1206 AECQ</v>
      </c>
      <c r="E2" s="187" t="s">
        <v>412</v>
      </c>
      <c r="F2" s="187" t="s">
        <v>66</v>
      </c>
      <c r="G2" s="188" t="s">
        <v>13</v>
      </c>
      <c r="H2" s="201" t="s">
        <v>21</v>
      </c>
      <c r="I2" s="194" t="s">
        <v>77</v>
      </c>
      <c r="J2" s="207" t="s">
        <v>36</v>
      </c>
      <c r="K2" s="210" t="s">
        <v>11</v>
      </c>
      <c r="L2" s="210" t="s">
        <v>10</v>
      </c>
      <c r="M2" s="201" t="s">
        <v>44</v>
      </c>
      <c r="N2" s="185" t="str">
        <f>Resistors[[#This Row],[Footprint]]</f>
        <v>RES-1206</v>
      </c>
    </row>
    <row r="3" spans="1:15" x14ac:dyDescent="0.25">
      <c r="A3" s="183">
        <f t="shared" si="0"/>
        <v>2</v>
      </c>
      <c r="B3" s="206" t="s">
        <v>78</v>
      </c>
      <c r="C3" s="184" t="str">
        <f t="shared" si="1"/>
        <v>RES</v>
      </c>
      <c r="D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100Ohm 0.5W 1% 1206 AECQ</v>
      </c>
      <c r="E3" s="187" t="s">
        <v>412</v>
      </c>
      <c r="F3" s="187" t="s">
        <v>66</v>
      </c>
      <c r="G3" s="188" t="s">
        <v>13</v>
      </c>
      <c r="H3" s="201" t="s">
        <v>21</v>
      </c>
      <c r="I3" s="194" t="s">
        <v>79</v>
      </c>
      <c r="J3" s="207" t="s">
        <v>31</v>
      </c>
      <c r="K3" s="210" t="s">
        <v>11</v>
      </c>
      <c r="L3" s="210" t="s">
        <v>10</v>
      </c>
      <c r="M3" s="201" t="s">
        <v>44</v>
      </c>
      <c r="N3" s="185" t="str">
        <f>Resistors[[#This Row],[Footprint]]</f>
        <v>RES-1206</v>
      </c>
    </row>
    <row r="4" spans="1:15" x14ac:dyDescent="0.25">
      <c r="A4" s="183">
        <f t="shared" si="0"/>
        <v>3</v>
      </c>
      <c r="B4" s="206" t="s">
        <v>413</v>
      </c>
      <c r="C4" s="184" t="str">
        <f t="shared" si="1"/>
        <v>RES</v>
      </c>
      <c r="D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110Ohm 0.5W 1% 1206 STD</v>
      </c>
      <c r="E4" s="187" t="s">
        <v>414</v>
      </c>
      <c r="F4" s="187" t="s">
        <v>66</v>
      </c>
      <c r="G4" s="188" t="s">
        <v>13</v>
      </c>
      <c r="H4" s="201" t="s">
        <v>21</v>
      </c>
      <c r="I4" s="194" t="s">
        <v>415</v>
      </c>
      <c r="J4" s="207" t="s">
        <v>31</v>
      </c>
      <c r="K4" s="211" t="s">
        <v>1561</v>
      </c>
      <c r="L4" s="210" t="s">
        <v>10</v>
      </c>
      <c r="M4" s="201" t="s">
        <v>44</v>
      </c>
      <c r="N4" s="185" t="str">
        <f>Resistors[[#This Row],[Footprint]]</f>
        <v>RES-1206</v>
      </c>
    </row>
    <row r="5" spans="1:15" x14ac:dyDescent="0.25">
      <c r="A5" s="183">
        <f t="shared" si="0"/>
        <v>4</v>
      </c>
      <c r="B5" s="206" t="s">
        <v>416</v>
      </c>
      <c r="C5" s="184" t="str">
        <f t="shared" si="1"/>
        <v>RES</v>
      </c>
      <c r="D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120Ohm 0.5W 1% 1206 AECQ</v>
      </c>
      <c r="E5" s="187" t="s">
        <v>417</v>
      </c>
      <c r="F5" s="187" t="s">
        <v>66</v>
      </c>
      <c r="G5" s="188" t="s">
        <v>13</v>
      </c>
      <c r="H5" s="201" t="s">
        <v>21</v>
      </c>
      <c r="I5" s="194" t="s">
        <v>418</v>
      </c>
      <c r="J5" s="207" t="s">
        <v>31</v>
      </c>
      <c r="K5" s="210" t="s">
        <v>11</v>
      </c>
      <c r="L5" s="210" t="s">
        <v>10</v>
      </c>
      <c r="M5" s="201" t="s">
        <v>44</v>
      </c>
      <c r="N5" s="185" t="str">
        <f>Resistors[[#This Row],[Footprint]]</f>
        <v>RES-1206</v>
      </c>
    </row>
    <row r="6" spans="1:15" x14ac:dyDescent="0.25">
      <c r="A6" s="183">
        <f t="shared" si="0"/>
        <v>5</v>
      </c>
      <c r="B6" s="206" t="s">
        <v>419</v>
      </c>
      <c r="C6" s="184" t="str">
        <f t="shared" si="1"/>
        <v>RES</v>
      </c>
      <c r="D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130Ohm 0.5W 1% 1206 AECQ</v>
      </c>
      <c r="E6" s="187" t="s">
        <v>420</v>
      </c>
      <c r="F6" s="187" t="s">
        <v>66</v>
      </c>
      <c r="G6" s="188" t="s">
        <v>13</v>
      </c>
      <c r="H6" s="201" t="s">
        <v>21</v>
      </c>
      <c r="I6" s="194" t="s">
        <v>421</v>
      </c>
      <c r="J6" s="207" t="s">
        <v>36</v>
      </c>
      <c r="K6" s="210" t="s">
        <v>11</v>
      </c>
      <c r="L6" s="210" t="s">
        <v>10</v>
      </c>
      <c r="M6" s="201" t="s">
        <v>44</v>
      </c>
      <c r="N6" s="185" t="str">
        <f>Resistors[[#This Row],[Footprint]]</f>
        <v>RES-1206</v>
      </c>
    </row>
    <row r="7" spans="1:15" x14ac:dyDescent="0.25">
      <c r="A7" s="183">
        <f t="shared" si="0"/>
        <v>6</v>
      </c>
      <c r="B7" s="206" t="s">
        <v>419</v>
      </c>
      <c r="C7" s="184" t="str">
        <f t="shared" si="1"/>
        <v>RES</v>
      </c>
      <c r="D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130Ohm 0.5W 1% 1206 AECQ</v>
      </c>
      <c r="E7" s="187" t="s">
        <v>420</v>
      </c>
      <c r="F7" s="187" t="s">
        <v>66</v>
      </c>
      <c r="G7" s="188" t="s">
        <v>13</v>
      </c>
      <c r="H7" s="201" t="s">
        <v>21</v>
      </c>
      <c r="J7" s="207" t="s">
        <v>31</v>
      </c>
      <c r="K7" s="210" t="s">
        <v>11</v>
      </c>
      <c r="L7" s="210" t="s">
        <v>10</v>
      </c>
      <c r="M7" s="201" t="s">
        <v>44</v>
      </c>
      <c r="N7" s="185" t="str">
        <f>Resistors[[#This Row],[Footprint]]</f>
        <v>RES-1206</v>
      </c>
    </row>
    <row r="8" spans="1:15" x14ac:dyDescent="0.25">
      <c r="A8" s="183">
        <f t="shared" si="0"/>
        <v>7</v>
      </c>
      <c r="B8" s="206" t="s">
        <v>422</v>
      </c>
      <c r="C8" s="184" t="str">
        <f t="shared" si="1"/>
        <v>RES</v>
      </c>
      <c r="D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150Ohm 0.25W 1% 1206 AECQ</v>
      </c>
      <c r="E8" s="187" t="s">
        <v>423</v>
      </c>
      <c r="F8" s="189" t="s">
        <v>352</v>
      </c>
      <c r="G8" s="188" t="s">
        <v>13</v>
      </c>
      <c r="H8" s="201" t="s">
        <v>21</v>
      </c>
      <c r="J8" s="207" t="s">
        <v>36</v>
      </c>
      <c r="K8" s="210" t="s">
        <v>11</v>
      </c>
      <c r="L8" s="210" t="s">
        <v>10</v>
      </c>
      <c r="M8" s="201" t="s">
        <v>44</v>
      </c>
      <c r="N8" s="185" t="str">
        <f>Resistors[[#This Row],[Footprint]]</f>
        <v>RES-1206</v>
      </c>
    </row>
    <row r="9" spans="1:15" x14ac:dyDescent="0.25">
      <c r="A9" s="183">
        <f t="shared" si="0"/>
        <v>8</v>
      </c>
      <c r="B9" s="206" t="s">
        <v>422</v>
      </c>
      <c r="C9" s="184" t="str">
        <f t="shared" si="1"/>
        <v>RES</v>
      </c>
      <c r="D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150Ohm 0.5W 1% 1206 AECQ</v>
      </c>
      <c r="E9" s="187" t="s">
        <v>423</v>
      </c>
      <c r="F9" s="187" t="s">
        <v>66</v>
      </c>
      <c r="G9" s="188" t="s">
        <v>13</v>
      </c>
      <c r="H9" s="201" t="s">
        <v>21</v>
      </c>
      <c r="I9" s="194" t="s">
        <v>424</v>
      </c>
      <c r="J9" s="207" t="s">
        <v>36</v>
      </c>
      <c r="K9" s="210" t="s">
        <v>11</v>
      </c>
      <c r="L9" s="210" t="s">
        <v>10</v>
      </c>
      <c r="M9" s="201" t="s">
        <v>44</v>
      </c>
      <c r="N9" s="185" t="str">
        <f>Resistors[[#This Row],[Footprint]]</f>
        <v>RES-1206</v>
      </c>
    </row>
    <row r="10" spans="1:15" x14ac:dyDescent="0.25">
      <c r="A10" s="183">
        <f t="shared" si="0"/>
        <v>9</v>
      </c>
      <c r="B10" s="206" t="s">
        <v>422</v>
      </c>
      <c r="C10" s="184" t="str">
        <f t="shared" si="1"/>
        <v>RES</v>
      </c>
      <c r="D1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150Ohm 0.5W 1% 1206 AECQ</v>
      </c>
      <c r="E10" s="187" t="s">
        <v>423</v>
      </c>
      <c r="F10" s="187" t="s">
        <v>66</v>
      </c>
      <c r="G10" s="188" t="s">
        <v>13</v>
      </c>
      <c r="H10" s="201" t="s">
        <v>21</v>
      </c>
      <c r="I10" s="194" t="s">
        <v>425</v>
      </c>
      <c r="J10" s="207" t="s">
        <v>31</v>
      </c>
      <c r="K10" s="210" t="s">
        <v>11</v>
      </c>
      <c r="L10" s="210" t="s">
        <v>10</v>
      </c>
      <c r="M10" s="201" t="s">
        <v>44</v>
      </c>
      <c r="N10" s="185" t="str">
        <f>Resistors[[#This Row],[Footprint]]</f>
        <v>RES-1206</v>
      </c>
    </row>
    <row r="11" spans="1:15" x14ac:dyDescent="0.25">
      <c r="A11" s="183">
        <f t="shared" si="0"/>
        <v>10</v>
      </c>
      <c r="B11" s="206" t="s">
        <v>426</v>
      </c>
      <c r="C11" s="184" t="str">
        <f t="shared" si="1"/>
        <v>RES</v>
      </c>
      <c r="D1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160Ohm 0.5W 1% 1206 AECQ</v>
      </c>
      <c r="E11" s="187" t="s">
        <v>427</v>
      </c>
      <c r="F11" s="187" t="s">
        <v>66</v>
      </c>
      <c r="G11" s="188" t="s">
        <v>13</v>
      </c>
      <c r="H11" s="201" t="s">
        <v>21</v>
      </c>
      <c r="I11" s="194" t="s">
        <v>428</v>
      </c>
      <c r="J11" s="207" t="s">
        <v>36</v>
      </c>
      <c r="K11" s="210" t="s">
        <v>11</v>
      </c>
      <c r="L11" s="210" t="s">
        <v>10</v>
      </c>
      <c r="M11" s="201" t="s">
        <v>44</v>
      </c>
      <c r="N11" s="185" t="str">
        <f>Resistors[[#This Row],[Footprint]]</f>
        <v>RES-1206</v>
      </c>
    </row>
    <row r="12" spans="1:15" x14ac:dyDescent="0.25">
      <c r="A12" s="183">
        <f t="shared" si="0"/>
        <v>11</v>
      </c>
      <c r="B12" s="206" t="s">
        <v>426</v>
      </c>
      <c r="C12" s="184" t="str">
        <f t="shared" si="1"/>
        <v>RES</v>
      </c>
      <c r="D1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160Ohm 0.5W 1% 1206 AECQ</v>
      </c>
      <c r="E12" s="187" t="s">
        <v>427</v>
      </c>
      <c r="F12" s="187" t="s">
        <v>66</v>
      </c>
      <c r="G12" s="188" t="s">
        <v>13</v>
      </c>
      <c r="H12" s="201" t="s">
        <v>21</v>
      </c>
      <c r="I12" s="194" t="s">
        <v>429</v>
      </c>
      <c r="J12" s="207" t="s">
        <v>31</v>
      </c>
      <c r="K12" s="210" t="s">
        <v>11</v>
      </c>
      <c r="L12" s="210" t="s">
        <v>10</v>
      </c>
      <c r="M12" s="201" t="s">
        <v>44</v>
      </c>
      <c r="N12" s="185" t="str">
        <f>Resistors[[#This Row],[Footprint]]</f>
        <v>RES-1206</v>
      </c>
    </row>
    <row r="13" spans="1:15" x14ac:dyDescent="0.25">
      <c r="A13" s="183">
        <f t="shared" si="0"/>
        <v>12</v>
      </c>
      <c r="B13" s="206" t="s">
        <v>426</v>
      </c>
      <c r="C13" s="184" t="str">
        <f t="shared" si="1"/>
        <v>RES</v>
      </c>
      <c r="D1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160Ohm 0.5W 1% 1206 AECQ</v>
      </c>
      <c r="E13" s="187" t="s">
        <v>427</v>
      </c>
      <c r="F13" s="187" t="s">
        <v>66</v>
      </c>
      <c r="G13" s="188" t="s">
        <v>13</v>
      </c>
      <c r="H13" s="201" t="s">
        <v>21</v>
      </c>
      <c r="I13" s="194" t="s">
        <v>430</v>
      </c>
      <c r="J13" s="207" t="s">
        <v>9</v>
      </c>
      <c r="K13" s="210" t="s">
        <v>11</v>
      </c>
      <c r="L13" s="210" t="s">
        <v>10</v>
      </c>
      <c r="M13" s="201" t="s">
        <v>44</v>
      </c>
      <c r="N13" s="185" t="str">
        <f>Resistors[[#This Row],[Footprint]]</f>
        <v>RES-1206</v>
      </c>
    </row>
    <row r="14" spans="1:15" x14ac:dyDescent="0.25">
      <c r="A14" s="183">
        <f t="shared" si="0"/>
        <v>13</v>
      </c>
      <c r="B14" s="206" t="s">
        <v>431</v>
      </c>
      <c r="C14" s="184" t="str">
        <f t="shared" si="1"/>
        <v>RES</v>
      </c>
      <c r="D1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180Ohm 0.25W 1% 1206 AECQ</v>
      </c>
      <c r="E14" s="187" t="s">
        <v>432</v>
      </c>
      <c r="F14" s="190" t="s">
        <v>352</v>
      </c>
      <c r="G14" s="188" t="s">
        <v>13</v>
      </c>
      <c r="H14" s="201" t="s">
        <v>21</v>
      </c>
      <c r="I14" s="194" t="s">
        <v>433</v>
      </c>
      <c r="J14" s="207" t="s">
        <v>36</v>
      </c>
      <c r="K14" s="210" t="s">
        <v>11</v>
      </c>
      <c r="L14" s="210" t="s">
        <v>10</v>
      </c>
      <c r="M14" s="201" t="s">
        <v>44</v>
      </c>
      <c r="N14" s="185" t="str">
        <f>Resistors[[#This Row],[Footprint]]</f>
        <v>RES-1206</v>
      </c>
    </row>
    <row r="15" spans="1:15" x14ac:dyDescent="0.25">
      <c r="A15" s="183">
        <f t="shared" si="0"/>
        <v>14</v>
      </c>
      <c r="B15" s="206" t="s">
        <v>431</v>
      </c>
      <c r="C15" s="184" t="str">
        <f t="shared" si="1"/>
        <v>RES</v>
      </c>
      <c r="D1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180Ohm 0.5W 1% 1206 AECQ</v>
      </c>
      <c r="E15" s="187" t="s">
        <v>432</v>
      </c>
      <c r="F15" s="187" t="s">
        <v>66</v>
      </c>
      <c r="G15" s="188" t="s">
        <v>13</v>
      </c>
      <c r="H15" s="201" t="s">
        <v>21</v>
      </c>
      <c r="I15" s="194" t="s">
        <v>434</v>
      </c>
      <c r="J15" s="207" t="s">
        <v>31</v>
      </c>
      <c r="K15" s="210" t="s">
        <v>11</v>
      </c>
      <c r="L15" s="210" t="s">
        <v>10</v>
      </c>
      <c r="M15" s="201" t="s">
        <v>44</v>
      </c>
      <c r="N15" s="185" t="str">
        <f>Resistors[[#This Row],[Footprint]]</f>
        <v>RES-1206</v>
      </c>
    </row>
    <row r="16" spans="1:15" x14ac:dyDescent="0.25">
      <c r="A16" s="183">
        <f t="shared" si="0"/>
        <v>15</v>
      </c>
      <c r="B16" s="206" t="s">
        <v>435</v>
      </c>
      <c r="C16" s="184" t="str">
        <f t="shared" si="1"/>
        <v>RES</v>
      </c>
      <c r="D1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200Ohm 0.25W 1% 1206 AECQ</v>
      </c>
      <c r="E16" s="187" t="s">
        <v>436</v>
      </c>
      <c r="F16" s="190" t="s">
        <v>352</v>
      </c>
      <c r="G16" s="188" t="s">
        <v>13</v>
      </c>
      <c r="H16" s="201" t="s">
        <v>21</v>
      </c>
      <c r="I16" s="194" t="s">
        <v>437</v>
      </c>
      <c r="J16" s="207" t="s">
        <v>36</v>
      </c>
      <c r="K16" s="210" t="s">
        <v>11</v>
      </c>
      <c r="L16" s="210" t="s">
        <v>10</v>
      </c>
      <c r="M16" s="201" t="s">
        <v>44</v>
      </c>
      <c r="N16" s="185" t="str">
        <f>Resistors[[#This Row],[Footprint]]</f>
        <v>RES-1206</v>
      </c>
    </row>
    <row r="17" spans="1:14" x14ac:dyDescent="0.25">
      <c r="A17" s="183">
        <f t="shared" si="0"/>
        <v>16</v>
      </c>
      <c r="B17" s="206" t="s">
        <v>435</v>
      </c>
      <c r="C17" s="184" t="str">
        <f t="shared" si="1"/>
        <v>RES</v>
      </c>
      <c r="D1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200Ohm 0.5W 1% 1206 AECQ</v>
      </c>
      <c r="E17" s="187" t="s">
        <v>436</v>
      </c>
      <c r="F17" s="191" t="s">
        <v>66</v>
      </c>
      <c r="G17" s="188" t="s">
        <v>13</v>
      </c>
      <c r="H17" s="201" t="s">
        <v>21</v>
      </c>
      <c r="I17" s="194" t="s">
        <v>438</v>
      </c>
      <c r="J17" s="207" t="s">
        <v>31</v>
      </c>
      <c r="K17" s="210" t="s">
        <v>11</v>
      </c>
      <c r="L17" s="210" t="s">
        <v>10</v>
      </c>
      <c r="M17" s="201" t="s">
        <v>44</v>
      </c>
      <c r="N17" s="185" t="str">
        <f>Resistors[[#This Row],[Footprint]]</f>
        <v>RES-1206</v>
      </c>
    </row>
    <row r="18" spans="1:14" x14ac:dyDescent="0.25">
      <c r="A18" s="183">
        <f t="shared" si="0"/>
        <v>17</v>
      </c>
      <c r="B18" s="206" t="s">
        <v>439</v>
      </c>
      <c r="C18" s="184" t="str">
        <f t="shared" si="1"/>
        <v>RES</v>
      </c>
      <c r="D1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0.25W 1% 1206 AECQ</v>
      </c>
      <c r="E18" s="187" t="s">
        <v>440</v>
      </c>
      <c r="F18" s="189" t="s">
        <v>352</v>
      </c>
      <c r="G18" s="188" t="s">
        <v>13</v>
      </c>
      <c r="H18" s="201" t="s">
        <v>21</v>
      </c>
      <c r="I18" s="194" t="s">
        <v>441</v>
      </c>
      <c r="J18" s="207" t="s">
        <v>36</v>
      </c>
      <c r="K18" s="210" t="s">
        <v>11</v>
      </c>
      <c r="L18" s="210" t="s">
        <v>10</v>
      </c>
      <c r="M18" s="201" t="s">
        <v>44</v>
      </c>
      <c r="N18" s="185" t="str">
        <f>Resistors[[#This Row],[Footprint]]</f>
        <v>RES-1206</v>
      </c>
    </row>
    <row r="19" spans="1:14" x14ac:dyDescent="0.25">
      <c r="A19" s="183">
        <f t="shared" si="0"/>
        <v>18</v>
      </c>
      <c r="B19" s="206" t="s">
        <v>439</v>
      </c>
      <c r="C19" s="184" t="str">
        <f t="shared" si="1"/>
        <v>RES</v>
      </c>
      <c r="D1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0.5W 1% 1206 AECQ</v>
      </c>
      <c r="E19" s="187" t="s">
        <v>440</v>
      </c>
      <c r="F19" s="191" t="s">
        <v>66</v>
      </c>
      <c r="G19" s="188" t="s">
        <v>13</v>
      </c>
      <c r="H19" s="201" t="s">
        <v>21</v>
      </c>
      <c r="I19" s="194" t="s">
        <v>442</v>
      </c>
      <c r="J19" s="207" t="s">
        <v>31</v>
      </c>
      <c r="K19" s="210" t="s">
        <v>11</v>
      </c>
      <c r="L19" s="210" t="s">
        <v>10</v>
      </c>
      <c r="M19" s="201" t="s">
        <v>44</v>
      </c>
      <c r="N19" s="185" t="str">
        <f>Resistors[[#This Row],[Footprint]]</f>
        <v>RES-1206</v>
      </c>
    </row>
    <row r="20" spans="1:14" x14ac:dyDescent="0.25">
      <c r="A20" s="183">
        <f t="shared" si="0"/>
        <v>19</v>
      </c>
      <c r="B20" s="206" t="s">
        <v>439</v>
      </c>
      <c r="C20" s="184" t="str">
        <f t="shared" si="1"/>
        <v>RES</v>
      </c>
      <c r="D2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0.5W 1% 1206 AECQ</v>
      </c>
      <c r="E20" s="187" t="s">
        <v>440</v>
      </c>
      <c r="F20" s="191" t="s">
        <v>66</v>
      </c>
      <c r="G20" s="188" t="s">
        <v>13</v>
      </c>
      <c r="H20" s="201" t="s">
        <v>21</v>
      </c>
      <c r="I20" s="194" t="s">
        <v>443</v>
      </c>
      <c r="J20" s="207" t="s">
        <v>34</v>
      </c>
      <c r="K20" s="210" t="s">
        <v>11</v>
      </c>
      <c r="L20" s="210" t="s">
        <v>10</v>
      </c>
      <c r="M20" s="201" t="s">
        <v>44</v>
      </c>
      <c r="N20" s="185" t="str">
        <f>Resistors[[#This Row],[Footprint]]</f>
        <v>RES-1206</v>
      </c>
    </row>
    <row r="21" spans="1:14" x14ac:dyDescent="0.25">
      <c r="A21" s="183">
        <f t="shared" si="0"/>
        <v>20</v>
      </c>
      <c r="B21" s="206" t="s">
        <v>444</v>
      </c>
      <c r="C21" s="184" t="str">
        <f t="shared" si="1"/>
        <v>RES</v>
      </c>
      <c r="D2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120Ohm 0.25W 1% 1206 AECQ</v>
      </c>
      <c r="E21" s="187" t="s">
        <v>417</v>
      </c>
      <c r="F21" s="189" t="s">
        <v>352</v>
      </c>
      <c r="G21" s="188" t="s">
        <v>13</v>
      </c>
      <c r="H21" s="201" t="s">
        <v>21</v>
      </c>
      <c r="I21" s="186" t="s">
        <v>445</v>
      </c>
      <c r="J21" s="207" t="s">
        <v>36</v>
      </c>
      <c r="K21" s="210" t="s">
        <v>11</v>
      </c>
      <c r="L21" s="210" t="s">
        <v>10</v>
      </c>
      <c r="M21" s="201" t="s">
        <v>44</v>
      </c>
      <c r="N21" s="185" t="str">
        <f>Resistors[[#This Row],[Footprint]]</f>
        <v>RES-1206</v>
      </c>
    </row>
    <row r="22" spans="1:14" x14ac:dyDescent="0.25">
      <c r="A22" s="183">
        <f t="shared" si="0"/>
        <v>21</v>
      </c>
      <c r="B22" s="206" t="s">
        <v>444</v>
      </c>
      <c r="C22" s="184" t="str">
        <f t="shared" si="1"/>
        <v>RES</v>
      </c>
      <c r="D2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120Ohm 0.25W 1% 1206 AECQ</v>
      </c>
      <c r="E22" s="187" t="s">
        <v>417</v>
      </c>
      <c r="F22" s="189" t="s">
        <v>352</v>
      </c>
      <c r="G22" s="188" t="s">
        <v>13</v>
      </c>
      <c r="H22" s="201" t="s">
        <v>21</v>
      </c>
      <c r="I22" s="186" t="s">
        <v>446</v>
      </c>
      <c r="J22" s="207" t="s">
        <v>36</v>
      </c>
      <c r="K22" s="210" t="s">
        <v>11</v>
      </c>
      <c r="L22" s="210" t="s">
        <v>10</v>
      </c>
      <c r="M22" s="201" t="s">
        <v>44</v>
      </c>
      <c r="N22" s="185" t="str">
        <f>Resistors[[#This Row],[Footprint]]</f>
        <v>RES-1206</v>
      </c>
    </row>
    <row r="23" spans="1:14" x14ac:dyDescent="0.25">
      <c r="A23" s="183">
        <f t="shared" si="0"/>
        <v>22</v>
      </c>
      <c r="B23" s="206" t="s">
        <v>444</v>
      </c>
      <c r="C23" s="184" t="str">
        <f t="shared" si="1"/>
        <v>RES</v>
      </c>
      <c r="D2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12Ohm 0.75W 1% 1206 AECQ</v>
      </c>
      <c r="E23" s="187" t="s">
        <v>447</v>
      </c>
      <c r="F23" s="189" t="s">
        <v>448</v>
      </c>
      <c r="G23" s="188" t="s">
        <v>13</v>
      </c>
      <c r="H23" s="201" t="s">
        <v>21</v>
      </c>
      <c r="I23" s="186" t="s">
        <v>449</v>
      </c>
      <c r="J23" s="207" t="s">
        <v>31</v>
      </c>
      <c r="K23" s="210" t="s">
        <v>11</v>
      </c>
      <c r="L23" s="210" t="s">
        <v>10</v>
      </c>
      <c r="M23" s="201" t="s">
        <v>44</v>
      </c>
      <c r="N23" s="185" t="str">
        <f>Resistors[[#This Row],[Footprint]]</f>
        <v>RES-1206</v>
      </c>
    </row>
    <row r="24" spans="1:14" x14ac:dyDescent="0.25">
      <c r="A24" s="183">
        <f t="shared" si="0"/>
        <v>23</v>
      </c>
      <c r="B24" s="206" t="s">
        <v>444</v>
      </c>
      <c r="C24" s="184" t="str">
        <f t="shared" si="1"/>
        <v>RES</v>
      </c>
      <c r="D2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12Ohm 0.5W 1% 1206 AECQ</v>
      </c>
      <c r="E24" s="187" t="s">
        <v>447</v>
      </c>
      <c r="F24" s="191" t="s">
        <v>66</v>
      </c>
      <c r="G24" s="188" t="s">
        <v>13</v>
      </c>
      <c r="H24" s="201" t="s">
        <v>21</v>
      </c>
      <c r="I24" s="194" t="s">
        <v>450</v>
      </c>
      <c r="J24" s="207" t="s">
        <v>34</v>
      </c>
      <c r="K24" s="210" t="s">
        <v>11</v>
      </c>
      <c r="L24" s="210" t="s">
        <v>10</v>
      </c>
      <c r="M24" s="201" t="s">
        <v>44</v>
      </c>
      <c r="N24" s="185" t="str">
        <f>Resistors[[#This Row],[Footprint]]</f>
        <v>RES-1206</v>
      </c>
    </row>
    <row r="25" spans="1:14" x14ac:dyDescent="0.25">
      <c r="A25" s="183">
        <f t="shared" si="0"/>
        <v>24</v>
      </c>
      <c r="B25" s="206" t="s">
        <v>451</v>
      </c>
      <c r="C25" s="184" t="str">
        <f t="shared" si="1"/>
        <v>RES</v>
      </c>
      <c r="D2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15Ohm 0.5W 1% 1206 AECQ</v>
      </c>
      <c r="E25" s="187" t="s">
        <v>452</v>
      </c>
      <c r="F25" s="191" t="s">
        <v>66</v>
      </c>
      <c r="G25" s="188" t="s">
        <v>13</v>
      </c>
      <c r="H25" s="201" t="s">
        <v>21</v>
      </c>
      <c r="I25" s="194" t="s">
        <v>453</v>
      </c>
      <c r="J25" s="207" t="s">
        <v>34</v>
      </c>
      <c r="K25" s="210" t="s">
        <v>11</v>
      </c>
      <c r="L25" s="210" t="s">
        <v>10</v>
      </c>
      <c r="M25" s="201" t="s">
        <v>44</v>
      </c>
      <c r="N25" s="185" t="str">
        <f>Resistors[[#This Row],[Footprint]]</f>
        <v>RES-1206</v>
      </c>
    </row>
    <row r="26" spans="1:14" x14ac:dyDescent="0.25">
      <c r="A26" s="183">
        <f t="shared" si="0"/>
        <v>25</v>
      </c>
      <c r="B26" s="206" t="s">
        <v>454</v>
      </c>
      <c r="C26" s="184" t="str">
        <f t="shared" si="1"/>
        <v>RES</v>
      </c>
      <c r="D2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18Ohm 0.5W 1% 1206 AECQ</v>
      </c>
      <c r="E26" s="187" t="s">
        <v>455</v>
      </c>
      <c r="F26" s="191" t="s">
        <v>66</v>
      </c>
      <c r="G26" s="188" t="s">
        <v>13</v>
      </c>
      <c r="H26" s="201" t="s">
        <v>21</v>
      </c>
      <c r="I26" s="194" t="s">
        <v>456</v>
      </c>
      <c r="J26" s="207" t="s">
        <v>34</v>
      </c>
      <c r="K26" s="210" t="s">
        <v>11</v>
      </c>
      <c r="L26" s="210" t="s">
        <v>10</v>
      </c>
      <c r="M26" s="201" t="s">
        <v>44</v>
      </c>
      <c r="N26" s="185" t="str">
        <f>Resistors[[#This Row],[Footprint]]</f>
        <v>RES-1206</v>
      </c>
    </row>
    <row r="27" spans="1:14" x14ac:dyDescent="0.25">
      <c r="A27" s="183">
        <f t="shared" si="0"/>
        <v>26</v>
      </c>
      <c r="B27" s="206" t="s">
        <v>457</v>
      </c>
      <c r="C27" s="184" t="str">
        <f t="shared" si="1"/>
        <v>RES</v>
      </c>
      <c r="D2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10Ohm 0.1W 1% 0603 AECQ</v>
      </c>
      <c r="E27" s="187" t="s">
        <v>458</v>
      </c>
      <c r="F27" s="191" t="s">
        <v>459</v>
      </c>
      <c r="G27" s="188" t="s">
        <v>13</v>
      </c>
      <c r="H27" s="201" t="s">
        <v>20</v>
      </c>
      <c r="I27" s="194" t="s">
        <v>460</v>
      </c>
      <c r="J27" s="207" t="s">
        <v>36</v>
      </c>
      <c r="K27" s="210" t="s">
        <v>11</v>
      </c>
      <c r="L27" s="210" t="s">
        <v>10</v>
      </c>
      <c r="M27" s="201" t="s">
        <v>44</v>
      </c>
      <c r="N27" s="185" t="str">
        <f>Resistors[[#This Row],[Footprint]]</f>
        <v>RES-0603</v>
      </c>
    </row>
    <row r="28" spans="1:14" x14ac:dyDescent="0.25">
      <c r="A28" s="183">
        <f t="shared" si="0"/>
        <v>27</v>
      </c>
      <c r="B28" s="206" t="s">
        <v>461</v>
      </c>
      <c r="C28" s="184" t="str">
        <f t="shared" si="1"/>
        <v>RES</v>
      </c>
      <c r="D2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2KOhm 0.1W 1% 0603 AECQ</v>
      </c>
      <c r="E28" s="187" t="s">
        <v>462</v>
      </c>
      <c r="F28" s="191" t="s">
        <v>459</v>
      </c>
      <c r="G28" s="188" t="s">
        <v>13</v>
      </c>
      <c r="H28" s="201" t="s">
        <v>20</v>
      </c>
      <c r="I28" s="194" t="s">
        <v>463</v>
      </c>
      <c r="J28" s="207" t="s">
        <v>36</v>
      </c>
      <c r="K28" s="210" t="s">
        <v>11</v>
      </c>
      <c r="L28" s="210" t="s">
        <v>10</v>
      </c>
      <c r="M28" s="201" t="s">
        <v>44</v>
      </c>
      <c r="N28" s="185" t="str">
        <f>Resistors[[#This Row],[Footprint]]</f>
        <v>RES-0603</v>
      </c>
    </row>
    <row r="29" spans="1:14" x14ac:dyDescent="0.25">
      <c r="A29" s="183">
        <f t="shared" si="0"/>
        <v>28</v>
      </c>
      <c r="B29" s="206" t="s">
        <v>464</v>
      </c>
      <c r="C29" s="184" t="str">
        <f t="shared" si="1"/>
        <v>RES</v>
      </c>
      <c r="D2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3.9KOhm 0.125W 1% 0805 AECQ</v>
      </c>
      <c r="E29" s="187" t="s">
        <v>465</v>
      </c>
      <c r="F29" s="191" t="s">
        <v>466</v>
      </c>
      <c r="G29" s="188" t="s">
        <v>13</v>
      </c>
      <c r="H29" s="201" t="s">
        <v>12</v>
      </c>
      <c r="I29" s="194" t="s">
        <v>467</v>
      </c>
      <c r="J29" s="207" t="s">
        <v>36</v>
      </c>
      <c r="K29" s="210" t="s">
        <v>11</v>
      </c>
      <c r="L29" s="210" t="s">
        <v>10</v>
      </c>
      <c r="M29" s="201" t="s">
        <v>44</v>
      </c>
      <c r="N29" s="185" t="str">
        <f>Resistors[[#This Row],[Footprint]]</f>
        <v>RES-0805</v>
      </c>
    </row>
    <row r="30" spans="1:14" x14ac:dyDescent="0.25">
      <c r="A30" s="183">
        <f t="shared" si="0"/>
        <v>29</v>
      </c>
      <c r="B30" s="206" t="s">
        <v>468</v>
      </c>
      <c r="C30" s="184" t="str">
        <f t="shared" si="1"/>
        <v>RES</v>
      </c>
      <c r="D3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33Ohm 0.1W 1% 0603 AECQ</v>
      </c>
      <c r="E30" s="187" t="s">
        <v>469</v>
      </c>
      <c r="F30" s="191" t="s">
        <v>459</v>
      </c>
      <c r="G30" s="188" t="s">
        <v>13</v>
      </c>
      <c r="H30" s="201" t="s">
        <v>20</v>
      </c>
      <c r="I30" s="194" t="s">
        <v>470</v>
      </c>
      <c r="J30" s="207" t="s">
        <v>36</v>
      </c>
      <c r="K30" s="210" t="s">
        <v>11</v>
      </c>
      <c r="L30" s="210" t="s">
        <v>10</v>
      </c>
      <c r="M30" s="201" t="s">
        <v>44</v>
      </c>
      <c r="N30" s="185" t="str">
        <f>Resistors[[#This Row],[Footprint]]</f>
        <v>RES-0603</v>
      </c>
    </row>
    <row r="31" spans="1:14" x14ac:dyDescent="0.25">
      <c r="A31" s="183">
        <f t="shared" si="0"/>
        <v>30</v>
      </c>
      <c r="B31" s="206" t="s">
        <v>468</v>
      </c>
      <c r="C31" s="184" t="str">
        <f t="shared" si="1"/>
        <v>RES</v>
      </c>
      <c r="D3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33Ohm 0.1W 1% 0603 AECQ</v>
      </c>
      <c r="E31" s="190" t="s">
        <v>469</v>
      </c>
      <c r="F31" s="189" t="s">
        <v>459</v>
      </c>
      <c r="G31" s="192" t="s">
        <v>13</v>
      </c>
      <c r="H31" s="213" t="s">
        <v>20</v>
      </c>
      <c r="I31" s="186" t="s">
        <v>471</v>
      </c>
      <c r="J31" s="208" t="s">
        <v>31</v>
      </c>
      <c r="K31" s="211" t="s">
        <v>11</v>
      </c>
      <c r="L31" s="211" t="s">
        <v>10</v>
      </c>
      <c r="M31" s="201" t="s">
        <v>44</v>
      </c>
      <c r="N31" s="185" t="str">
        <f>Resistors[[#This Row],[Footprint]]</f>
        <v>RES-0603</v>
      </c>
    </row>
    <row r="32" spans="1:14" x14ac:dyDescent="0.25">
      <c r="A32" s="183">
        <f t="shared" si="0"/>
        <v>31</v>
      </c>
      <c r="B32" s="206" t="s">
        <v>472</v>
      </c>
      <c r="C32" s="184" t="str">
        <f t="shared" si="1"/>
        <v>RES</v>
      </c>
      <c r="D3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3KOhm 0.25W 1% 1206 AECQ</v>
      </c>
      <c r="E32" s="187" t="s">
        <v>473</v>
      </c>
      <c r="F32" s="191" t="s">
        <v>352</v>
      </c>
      <c r="G32" s="188" t="s">
        <v>13</v>
      </c>
      <c r="H32" s="201" t="s">
        <v>21</v>
      </c>
      <c r="I32" s="194" t="s">
        <v>474</v>
      </c>
      <c r="J32" s="207" t="s">
        <v>36</v>
      </c>
      <c r="K32" s="210" t="s">
        <v>11</v>
      </c>
      <c r="L32" s="210" t="s">
        <v>10</v>
      </c>
      <c r="M32" s="201" t="s">
        <v>44</v>
      </c>
      <c r="N32" s="185" t="str">
        <f>Resistors[[#This Row],[Footprint]]</f>
        <v>RES-1206</v>
      </c>
    </row>
    <row r="33" spans="1:14" x14ac:dyDescent="0.25">
      <c r="A33" s="183">
        <f t="shared" si="0"/>
        <v>32</v>
      </c>
      <c r="B33" s="206" t="s">
        <v>475</v>
      </c>
      <c r="C33" s="184" t="str">
        <f t="shared" si="1"/>
        <v>RES</v>
      </c>
      <c r="D3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4.7Ohm 0.125W 1% 0805 AECQ</v>
      </c>
      <c r="E33" s="187" t="s">
        <v>476</v>
      </c>
      <c r="F33" s="191" t="s">
        <v>466</v>
      </c>
      <c r="G33" s="188" t="s">
        <v>13</v>
      </c>
      <c r="H33" s="201" t="s">
        <v>12</v>
      </c>
      <c r="I33" s="194" t="s">
        <v>477</v>
      </c>
      <c r="J33" s="207" t="s">
        <v>36</v>
      </c>
      <c r="K33" s="210" t="s">
        <v>11</v>
      </c>
      <c r="L33" s="210" t="s">
        <v>10</v>
      </c>
      <c r="M33" s="201" t="s">
        <v>44</v>
      </c>
      <c r="N33" s="185" t="str">
        <f>Resistors[[#This Row],[Footprint]]</f>
        <v>RES-0805</v>
      </c>
    </row>
    <row r="34" spans="1:14" x14ac:dyDescent="0.25">
      <c r="A34" s="183">
        <f t="shared" ref="A34:A65" si="2">ROW()-1</f>
        <v>33</v>
      </c>
      <c r="B34" s="206" t="s">
        <v>478</v>
      </c>
      <c r="C34" s="184" t="str">
        <f t="shared" si="1"/>
        <v>RES</v>
      </c>
      <c r="D3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430Ohm 0.125W 1% 0805 AECQ</v>
      </c>
      <c r="E34" s="187" t="s">
        <v>479</v>
      </c>
      <c r="F34" s="191" t="s">
        <v>466</v>
      </c>
      <c r="G34" s="188" t="s">
        <v>13</v>
      </c>
      <c r="H34" s="201" t="s">
        <v>12</v>
      </c>
      <c r="I34" s="194" t="s">
        <v>480</v>
      </c>
      <c r="J34" s="207" t="s">
        <v>36</v>
      </c>
      <c r="K34" s="210" t="s">
        <v>11</v>
      </c>
      <c r="L34" s="210" t="s">
        <v>10</v>
      </c>
      <c r="M34" s="201" t="s">
        <v>44</v>
      </c>
      <c r="N34" s="185" t="str">
        <f>Resistors[[#This Row],[Footprint]]</f>
        <v>RES-0805</v>
      </c>
    </row>
    <row r="35" spans="1:14" x14ac:dyDescent="0.25">
      <c r="A35" s="183">
        <f t="shared" si="2"/>
        <v>34</v>
      </c>
      <c r="B35" s="206" t="s">
        <v>481</v>
      </c>
      <c r="C35" s="184" t="str">
        <f t="shared" si="1"/>
        <v>RES</v>
      </c>
      <c r="D3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8.2KOhm 0.125W 1% 0805 AECQ</v>
      </c>
      <c r="E35" s="187" t="s">
        <v>482</v>
      </c>
      <c r="F35" s="191" t="s">
        <v>466</v>
      </c>
      <c r="G35" s="188" t="s">
        <v>13</v>
      </c>
      <c r="H35" s="201" t="s">
        <v>12</v>
      </c>
      <c r="I35" s="194" t="s">
        <v>483</v>
      </c>
      <c r="J35" s="207" t="s">
        <v>36</v>
      </c>
      <c r="K35" s="210" t="s">
        <v>11</v>
      </c>
      <c r="L35" s="210" t="s">
        <v>10</v>
      </c>
      <c r="M35" s="201" t="s">
        <v>44</v>
      </c>
      <c r="N35" s="185" t="str">
        <f>Resistors[[#This Row],[Footprint]]</f>
        <v>RES-0805</v>
      </c>
    </row>
    <row r="36" spans="1:14" x14ac:dyDescent="0.25">
      <c r="A36" s="183">
        <f t="shared" si="2"/>
        <v>35</v>
      </c>
      <c r="B36" s="206" t="s">
        <v>484</v>
      </c>
      <c r="C36" s="184" t="str">
        <f t="shared" si="1"/>
        <v>RES</v>
      </c>
      <c r="D3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0.125W 1% 0805 AECQ</v>
      </c>
      <c r="E36" s="187" t="s">
        <v>411</v>
      </c>
      <c r="F36" s="191" t="s">
        <v>466</v>
      </c>
      <c r="G36" s="188" t="s">
        <v>13</v>
      </c>
      <c r="H36" s="201" t="s">
        <v>12</v>
      </c>
      <c r="I36" s="194" t="s">
        <v>485</v>
      </c>
      <c r="J36" s="207" t="s">
        <v>36</v>
      </c>
      <c r="K36" s="210" t="s">
        <v>11</v>
      </c>
      <c r="L36" s="210" t="s">
        <v>10</v>
      </c>
      <c r="M36" s="201" t="s">
        <v>44</v>
      </c>
      <c r="N36" s="185" t="str">
        <f>Resistors[[#This Row],[Footprint]]</f>
        <v>RES-0805</v>
      </c>
    </row>
    <row r="37" spans="1:14" x14ac:dyDescent="0.25">
      <c r="A37" s="183">
        <f t="shared" si="2"/>
        <v>36</v>
      </c>
      <c r="B37" s="206" t="s">
        <v>484</v>
      </c>
      <c r="C37" s="184" t="str">
        <f t="shared" si="1"/>
        <v>RES</v>
      </c>
      <c r="D3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0.125W 1% 0805 AECQ</v>
      </c>
      <c r="E37" s="187" t="s">
        <v>411</v>
      </c>
      <c r="F37" s="191" t="s">
        <v>466</v>
      </c>
      <c r="G37" s="188" t="s">
        <v>13</v>
      </c>
      <c r="H37" s="201" t="s">
        <v>12</v>
      </c>
      <c r="I37" s="194" t="s">
        <v>486</v>
      </c>
      <c r="J37" s="207" t="s">
        <v>34</v>
      </c>
      <c r="K37" s="210" t="s">
        <v>11</v>
      </c>
      <c r="L37" s="210" t="s">
        <v>10</v>
      </c>
      <c r="M37" s="201" t="s">
        <v>44</v>
      </c>
      <c r="N37" s="185" t="str">
        <f>Resistors[[#This Row],[Footprint]]</f>
        <v>RES-0805</v>
      </c>
    </row>
    <row r="38" spans="1:14" x14ac:dyDescent="0.25">
      <c r="A38" s="183">
        <f t="shared" si="2"/>
        <v>37</v>
      </c>
      <c r="B38" s="206" t="s">
        <v>484</v>
      </c>
      <c r="C38" s="184" t="str">
        <f t="shared" si="1"/>
        <v>RES</v>
      </c>
      <c r="D3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0.125W 5% 0805 AECQ</v>
      </c>
      <c r="E38" s="187" t="s">
        <v>411</v>
      </c>
      <c r="F38" s="191" t="s">
        <v>466</v>
      </c>
      <c r="G38" s="193" t="s">
        <v>410</v>
      </c>
      <c r="H38" s="201" t="s">
        <v>12</v>
      </c>
      <c r="I38" s="196" t="s">
        <v>487</v>
      </c>
      <c r="J38" s="207" t="s">
        <v>34</v>
      </c>
      <c r="K38" s="210" t="s">
        <v>11</v>
      </c>
      <c r="L38" s="210" t="s">
        <v>10</v>
      </c>
      <c r="M38" s="201" t="s">
        <v>44</v>
      </c>
      <c r="N38" s="185" t="str">
        <f>Resistors[[#This Row],[Footprint]]</f>
        <v>RES-0805</v>
      </c>
    </row>
    <row r="39" spans="1:14" x14ac:dyDescent="0.25">
      <c r="A39" s="183">
        <f t="shared" si="2"/>
        <v>38</v>
      </c>
      <c r="B39" s="206" t="s">
        <v>484</v>
      </c>
      <c r="C39" s="184" t="str">
        <f t="shared" si="1"/>
        <v>RES</v>
      </c>
      <c r="D3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0.125W 1% 0805 AECQ</v>
      </c>
      <c r="E39" s="187" t="s">
        <v>411</v>
      </c>
      <c r="F39" s="191" t="s">
        <v>466</v>
      </c>
      <c r="G39" s="188" t="s">
        <v>13</v>
      </c>
      <c r="H39" s="201" t="s">
        <v>12</v>
      </c>
      <c r="I39" s="200" t="s">
        <v>488</v>
      </c>
      <c r="J39" s="207" t="s">
        <v>31</v>
      </c>
      <c r="K39" s="212" t="s">
        <v>11</v>
      </c>
      <c r="L39" s="212" t="s">
        <v>10</v>
      </c>
      <c r="M39" s="201" t="s">
        <v>44</v>
      </c>
      <c r="N39" s="185" t="str">
        <f>Resistors[[#This Row],[Footprint]]</f>
        <v>RES-0805</v>
      </c>
    </row>
    <row r="40" spans="1:14" x14ac:dyDescent="0.25">
      <c r="A40" s="183">
        <f t="shared" si="2"/>
        <v>39</v>
      </c>
      <c r="B40" s="206" t="s">
        <v>484</v>
      </c>
      <c r="C40" s="184" t="str">
        <f t="shared" si="1"/>
        <v>RES</v>
      </c>
      <c r="D4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0.125W 5% 0805 AECQ</v>
      </c>
      <c r="E40" s="187" t="s">
        <v>411</v>
      </c>
      <c r="F40" s="191" t="s">
        <v>466</v>
      </c>
      <c r="G40" s="193" t="s">
        <v>410</v>
      </c>
      <c r="H40" s="201" t="s">
        <v>12</v>
      </c>
      <c r="I40" s="196" t="s">
        <v>489</v>
      </c>
      <c r="J40" s="207" t="s">
        <v>36</v>
      </c>
      <c r="K40" s="210" t="s">
        <v>11</v>
      </c>
      <c r="L40" s="210" t="s">
        <v>10</v>
      </c>
      <c r="M40" s="201" t="s">
        <v>44</v>
      </c>
      <c r="N40" s="185" t="str">
        <f>Resistors[[#This Row],[Footprint]]</f>
        <v>RES-0805</v>
      </c>
    </row>
    <row r="41" spans="1:14" x14ac:dyDescent="0.25">
      <c r="A41" s="183">
        <f t="shared" si="2"/>
        <v>40</v>
      </c>
      <c r="B41" s="206" t="s">
        <v>490</v>
      </c>
      <c r="C41" s="184" t="str">
        <f t="shared" si="1"/>
        <v>RES</v>
      </c>
      <c r="D4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0.1W 1% 0603 AECQ</v>
      </c>
      <c r="E41" s="187" t="s">
        <v>411</v>
      </c>
      <c r="F41" s="191" t="s">
        <v>459</v>
      </c>
      <c r="G41" s="188" t="s">
        <v>13</v>
      </c>
      <c r="H41" s="201" t="s">
        <v>20</v>
      </c>
      <c r="I41" s="194" t="s">
        <v>491</v>
      </c>
      <c r="J41" s="207" t="s">
        <v>36</v>
      </c>
      <c r="K41" s="210" t="s">
        <v>11</v>
      </c>
      <c r="L41" s="210" t="s">
        <v>10</v>
      </c>
      <c r="M41" s="201" t="s">
        <v>44</v>
      </c>
      <c r="N41" s="185" t="str">
        <f>Resistors[[#This Row],[Footprint]]</f>
        <v>RES-0603</v>
      </c>
    </row>
    <row r="42" spans="1:14" x14ac:dyDescent="0.25">
      <c r="A42" s="183">
        <f t="shared" si="2"/>
        <v>41</v>
      </c>
      <c r="B42" s="206" t="s">
        <v>490</v>
      </c>
      <c r="C42" s="184" t="str">
        <f t="shared" si="1"/>
        <v>RES</v>
      </c>
      <c r="D4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0.1W 1% 0603 AECQ</v>
      </c>
      <c r="E42" s="187" t="s">
        <v>411</v>
      </c>
      <c r="F42" s="191" t="s">
        <v>459</v>
      </c>
      <c r="G42" s="188" t="s">
        <v>13</v>
      </c>
      <c r="H42" s="201" t="s">
        <v>20</v>
      </c>
      <c r="I42" s="194" t="s">
        <v>492</v>
      </c>
      <c r="J42" s="207" t="s">
        <v>36</v>
      </c>
      <c r="K42" s="210" t="s">
        <v>11</v>
      </c>
      <c r="L42" s="210" t="s">
        <v>10</v>
      </c>
      <c r="M42" s="201" t="s">
        <v>44</v>
      </c>
      <c r="N42" s="185" t="str">
        <f>Resistors[[#This Row],[Footprint]]</f>
        <v>RES-0603</v>
      </c>
    </row>
    <row r="43" spans="1:14" x14ac:dyDescent="0.25">
      <c r="A43" s="183">
        <f t="shared" si="2"/>
        <v>42</v>
      </c>
      <c r="B43" s="206" t="s">
        <v>490</v>
      </c>
      <c r="C43" s="184" t="str">
        <f t="shared" si="1"/>
        <v>RES</v>
      </c>
      <c r="D4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0.1W 1% 0603 AECQ</v>
      </c>
      <c r="E43" s="187" t="s">
        <v>411</v>
      </c>
      <c r="F43" s="191" t="s">
        <v>459</v>
      </c>
      <c r="G43" s="188" t="s">
        <v>13</v>
      </c>
      <c r="H43" s="201" t="s">
        <v>20</v>
      </c>
      <c r="I43" s="194" t="s">
        <v>493</v>
      </c>
      <c r="J43" s="207" t="s">
        <v>34</v>
      </c>
      <c r="K43" s="210" t="s">
        <v>11</v>
      </c>
      <c r="L43" s="210" t="s">
        <v>10</v>
      </c>
      <c r="M43" s="201" t="s">
        <v>44</v>
      </c>
      <c r="N43" s="185" t="str">
        <f>Resistors[[#This Row],[Footprint]]</f>
        <v>RES-0603</v>
      </c>
    </row>
    <row r="44" spans="1:14" x14ac:dyDescent="0.25">
      <c r="A44" s="183">
        <f t="shared" si="2"/>
        <v>43</v>
      </c>
      <c r="B44" s="206" t="s">
        <v>490</v>
      </c>
      <c r="C44" s="184" t="str">
        <f t="shared" si="1"/>
        <v>RES</v>
      </c>
      <c r="D4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0.1W 1% 0603 AECQ</v>
      </c>
      <c r="E44" s="187" t="s">
        <v>411</v>
      </c>
      <c r="F44" s="191" t="s">
        <v>459</v>
      </c>
      <c r="G44" s="188" t="s">
        <v>13</v>
      </c>
      <c r="H44" s="201" t="s">
        <v>20</v>
      </c>
      <c r="I44" s="194" t="s">
        <v>494</v>
      </c>
      <c r="J44" s="207" t="s">
        <v>9</v>
      </c>
      <c r="K44" s="210" t="s">
        <v>11</v>
      </c>
      <c r="L44" s="210" t="s">
        <v>10</v>
      </c>
      <c r="M44" s="201" t="s">
        <v>44</v>
      </c>
      <c r="N44" s="185" t="str">
        <f>Resistors[[#This Row],[Footprint]]</f>
        <v>RES-0603</v>
      </c>
    </row>
    <row r="45" spans="1:14" x14ac:dyDescent="0.25">
      <c r="A45" s="183">
        <f t="shared" si="2"/>
        <v>44</v>
      </c>
      <c r="B45" s="206" t="s">
        <v>490</v>
      </c>
      <c r="C45" s="184" t="str">
        <f t="shared" si="1"/>
        <v>RES</v>
      </c>
      <c r="D4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0.1W 1% 0603 AECQ</v>
      </c>
      <c r="E45" s="190" t="s">
        <v>411</v>
      </c>
      <c r="F45" s="189" t="s">
        <v>459</v>
      </c>
      <c r="G45" s="192" t="s">
        <v>13</v>
      </c>
      <c r="H45" s="213" t="s">
        <v>20</v>
      </c>
      <c r="I45" s="186" t="s">
        <v>495</v>
      </c>
      <c r="J45" s="208" t="s">
        <v>31</v>
      </c>
      <c r="K45" s="211" t="s">
        <v>11</v>
      </c>
      <c r="L45" s="211" t="s">
        <v>10</v>
      </c>
      <c r="M45" s="201" t="s">
        <v>44</v>
      </c>
      <c r="N45" s="185" t="str">
        <f>Resistors[[#This Row],[Footprint]]</f>
        <v>RES-0603</v>
      </c>
    </row>
    <row r="46" spans="1:14" x14ac:dyDescent="0.25">
      <c r="A46" s="183">
        <f t="shared" si="2"/>
        <v>45</v>
      </c>
      <c r="B46" s="206" t="s">
        <v>490</v>
      </c>
      <c r="C46" s="184" t="str">
        <f t="shared" si="1"/>
        <v>RES</v>
      </c>
      <c r="D4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10KOhm    </v>
      </c>
      <c r="E46" s="190" t="s">
        <v>411</v>
      </c>
      <c r="F46" s="189"/>
      <c r="G46" s="192" t="s">
        <v>496</v>
      </c>
      <c r="H46" s="213"/>
      <c r="I46" s="186" t="s">
        <v>497</v>
      </c>
      <c r="J46" s="208"/>
      <c r="K46" s="211"/>
      <c r="L46" s="211" t="s">
        <v>10</v>
      </c>
      <c r="M46" s="201" t="s">
        <v>44</v>
      </c>
      <c r="N46" s="185">
        <f>Resistors[[#This Row],[Footprint]]</f>
        <v>0</v>
      </c>
    </row>
    <row r="47" spans="1:14" x14ac:dyDescent="0.25">
      <c r="A47" s="183">
        <f t="shared" si="2"/>
        <v>46</v>
      </c>
      <c r="B47" s="206" t="s">
        <v>498</v>
      </c>
      <c r="C47" s="184" t="str">
        <f t="shared" si="1"/>
        <v>RES</v>
      </c>
      <c r="D4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22KOhm 0.1W 1% 0603 AECQ</v>
      </c>
      <c r="E47" s="187" t="s">
        <v>499</v>
      </c>
      <c r="F47" s="191" t="s">
        <v>459</v>
      </c>
      <c r="G47" s="188" t="s">
        <v>13</v>
      </c>
      <c r="H47" s="201" t="s">
        <v>20</v>
      </c>
      <c r="I47" s="194" t="s">
        <v>500</v>
      </c>
      <c r="J47" s="207" t="s">
        <v>36</v>
      </c>
      <c r="K47" s="210" t="s">
        <v>11</v>
      </c>
      <c r="L47" s="210" t="s">
        <v>10</v>
      </c>
      <c r="M47" s="201" t="s">
        <v>44</v>
      </c>
      <c r="N47" s="185" t="str">
        <f>Resistors[[#This Row],[Footprint]]</f>
        <v>RES-0603</v>
      </c>
    </row>
    <row r="48" spans="1:14" x14ac:dyDescent="0.25">
      <c r="A48" s="183">
        <f t="shared" si="2"/>
        <v>47</v>
      </c>
      <c r="B48" s="206" t="s">
        <v>501</v>
      </c>
      <c r="C48" s="184" t="str">
        <f t="shared" si="1"/>
        <v>RES</v>
      </c>
      <c r="D4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100Ohm 0.25W 1% 1206 AECQ</v>
      </c>
      <c r="E48" s="187" t="s">
        <v>412</v>
      </c>
      <c r="F48" s="191" t="s">
        <v>352</v>
      </c>
      <c r="G48" s="188" t="s">
        <v>13</v>
      </c>
      <c r="H48" s="201" t="s">
        <v>21</v>
      </c>
      <c r="I48" s="194" t="s">
        <v>502</v>
      </c>
      <c r="J48" s="207" t="s">
        <v>36</v>
      </c>
      <c r="K48" s="210" t="s">
        <v>11</v>
      </c>
      <c r="L48" s="210" t="s">
        <v>10</v>
      </c>
      <c r="M48" s="201" t="s">
        <v>44</v>
      </c>
      <c r="N48" s="185" t="str">
        <f>Resistors[[#This Row],[Footprint]]</f>
        <v>RES-1206</v>
      </c>
    </row>
    <row r="49" spans="1:14" x14ac:dyDescent="0.25">
      <c r="A49" s="183">
        <f t="shared" si="2"/>
        <v>48</v>
      </c>
      <c r="B49" s="206" t="s">
        <v>501</v>
      </c>
      <c r="C49" s="184" t="str">
        <f t="shared" si="1"/>
        <v>RES</v>
      </c>
      <c r="D4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100Ohm 0.75W 1% 1206 AECQ</v>
      </c>
      <c r="E49" s="187" t="s">
        <v>412</v>
      </c>
      <c r="F49" s="191" t="s">
        <v>448</v>
      </c>
      <c r="G49" s="188" t="s">
        <v>13</v>
      </c>
      <c r="H49" s="201" t="s">
        <v>21</v>
      </c>
      <c r="I49" s="194" t="s">
        <v>503</v>
      </c>
      <c r="J49" s="207" t="s">
        <v>34</v>
      </c>
      <c r="K49" s="210" t="s">
        <v>11</v>
      </c>
      <c r="L49" s="210" t="s">
        <v>10</v>
      </c>
      <c r="M49" s="201" t="s">
        <v>44</v>
      </c>
      <c r="N49" s="185" t="str">
        <f>Resistors[[#This Row],[Footprint]]</f>
        <v>RES-1206</v>
      </c>
    </row>
    <row r="50" spans="1:14" x14ac:dyDescent="0.25">
      <c r="A50" s="183">
        <f t="shared" si="2"/>
        <v>49</v>
      </c>
      <c r="B50" s="206" t="s">
        <v>504</v>
      </c>
      <c r="C50" s="184" t="str">
        <f t="shared" si="1"/>
        <v>RES</v>
      </c>
      <c r="D5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20KOhm 0.1W 1% 0603 AECQ</v>
      </c>
      <c r="E50" s="187" t="s">
        <v>505</v>
      </c>
      <c r="F50" s="191" t="s">
        <v>459</v>
      </c>
      <c r="G50" s="188" t="s">
        <v>13</v>
      </c>
      <c r="H50" s="201" t="s">
        <v>20</v>
      </c>
      <c r="I50" s="201" t="s">
        <v>506</v>
      </c>
      <c r="J50" s="207" t="s">
        <v>36</v>
      </c>
      <c r="K50" s="210" t="s">
        <v>11</v>
      </c>
      <c r="L50" s="210" t="s">
        <v>10</v>
      </c>
      <c r="M50" s="201" t="s">
        <v>44</v>
      </c>
      <c r="N50" s="185" t="str">
        <f>Resistors[[#This Row],[Footprint]]</f>
        <v>RES-0603</v>
      </c>
    </row>
    <row r="51" spans="1:14" x14ac:dyDescent="0.25">
      <c r="A51" s="183">
        <f t="shared" si="2"/>
        <v>50</v>
      </c>
      <c r="B51" s="206" t="s">
        <v>504</v>
      </c>
      <c r="C51" s="184" t="str">
        <f t="shared" si="1"/>
        <v>RES</v>
      </c>
      <c r="D5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20KOhm 0.1W 1% 0603 AECQ</v>
      </c>
      <c r="E51" s="190" t="s">
        <v>505</v>
      </c>
      <c r="F51" s="189" t="s">
        <v>459</v>
      </c>
      <c r="G51" s="192" t="s">
        <v>13</v>
      </c>
      <c r="H51" s="213" t="s">
        <v>20</v>
      </c>
      <c r="I51" s="186" t="s">
        <v>507</v>
      </c>
      <c r="J51" s="208" t="s">
        <v>31</v>
      </c>
      <c r="K51" s="211" t="s">
        <v>11</v>
      </c>
      <c r="L51" s="211" t="s">
        <v>10</v>
      </c>
      <c r="M51" s="201" t="s">
        <v>44</v>
      </c>
      <c r="N51" s="185" t="str">
        <f>Resistors[[#This Row],[Footprint]]</f>
        <v>RES-0603</v>
      </c>
    </row>
    <row r="52" spans="1:14" x14ac:dyDescent="0.25">
      <c r="A52" s="183">
        <f t="shared" si="2"/>
        <v>51</v>
      </c>
      <c r="B52" s="206" t="s">
        <v>504</v>
      </c>
      <c r="C52" s="184" t="str">
        <f t="shared" si="1"/>
        <v>RES</v>
      </c>
      <c r="D5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20KOhm 0.1W 1% 0603 AECQ</v>
      </c>
      <c r="E52" s="187" t="s">
        <v>505</v>
      </c>
      <c r="F52" s="194" t="s">
        <v>459</v>
      </c>
      <c r="G52" s="188" t="s">
        <v>13</v>
      </c>
      <c r="H52" s="201" t="s">
        <v>20</v>
      </c>
      <c r="I52" s="194" t="s">
        <v>508</v>
      </c>
      <c r="J52" s="207" t="s">
        <v>34</v>
      </c>
      <c r="K52" s="210" t="s">
        <v>11</v>
      </c>
      <c r="L52" s="210" t="s">
        <v>10</v>
      </c>
      <c r="M52" s="201" t="s">
        <v>44</v>
      </c>
      <c r="N52" s="185" t="str">
        <f>Resistors[[#This Row],[Footprint]]</f>
        <v>RES-0603</v>
      </c>
    </row>
    <row r="53" spans="1:14" x14ac:dyDescent="0.25">
      <c r="A53" s="183">
        <f t="shared" si="2"/>
        <v>52</v>
      </c>
      <c r="B53" s="206" t="s">
        <v>509</v>
      </c>
      <c r="C53" s="184" t="str">
        <f t="shared" si="1"/>
        <v>RES</v>
      </c>
      <c r="D5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1KOhm 0.1W 1% 0603 AECQ</v>
      </c>
      <c r="E53" s="187" t="s">
        <v>510</v>
      </c>
      <c r="F53" s="194" t="s">
        <v>459</v>
      </c>
      <c r="G53" s="188" t="s">
        <v>13</v>
      </c>
      <c r="H53" s="201" t="s">
        <v>20</v>
      </c>
      <c r="I53" s="194" t="s">
        <v>511</v>
      </c>
      <c r="J53" s="207" t="s">
        <v>36</v>
      </c>
      <c r="K53" s="210" t="s">
        <v>11</v>
      </c>
      <c r="L53" s="210" t="s">
        <v>10</v>
      </c>
      <c r="M53" s="201" t="s">
        <v>44</v>
      </c>
      <c r="N53" s="185" t="str">
        <f>Resistors[[#This Row],[Footprint]]</f>
        <v>RES-0603</v>
      </c>
    </row>
    <row r="54" spans="1:14" x14ac:dyDescent="0.25">
      <c r="A54" s="183">
        <f t="shared" si="2"/>
        <v>53</v>
      </c>
      <c r="B54" s="206" t="s">
        <v>509</v>
      </c>
      <c r="C54" s="184" t="str">
        <f t="shared" si="1"/>
        <v>RES</v>
      </c>
      <c r="D5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1KOhm 0.1W 1% 0603 AECQ</v>
      </c>
      <c r="E54" s="187" t="s">
        <v>510</v>
      </c>
      <c r="F54" s="194" t="s">
        <v>459</v>
      </c>
      <c r="G54" s="188" t="s">
        <v>13</v>
      </c>
      <c r="H54" s="201" t="s">
        <v>20</v>
      </c>
      <c r="I54" s="194" t="s">
        <v>512</v>
      </c>
      <c r="J54" s="207" t="s">
        <v>31</v>
      </c>
      <c r="K54" s="210" t="s">
        <v>11</v>
      </c>
      <c r="L54" s="210" t="s">
        <v>10</v>
      </c>
      <c r="M54" s="201" t="s">
        <v>44</v>
      </c>
      <c r="N54" s="185" t="str">
        <f>Resistors[[#This Row],[Footprint]]</f>
        <v>RES-0603</v>
      </c>
    </row>
    <row r="55" spans="1:14" x14ac:dyDescent="0.25">
      <c r="A55" s="183">
        <f t="shared" si="2"/>
        <v>54</v>
      </c>
      <c r="B55" s="206" t="s">
        <v>513</v>
      </c>
      <c r="C55" s="184" t="str">
        <f t="shared" si="1"/>
        <v>RES</v>
      </c>
      <c r="D5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0.125W 5% 0805 AECQ</v>
      </c>
      <c r="E55" s="187" t="s">
        <v>514</v>
      </c>
      <c r="F55" s="194" t="s">
        <v>466</v>
      </c>
      <c r="G55" s="188" t="s">
        <v>410</v>
      </c>
      <c r="H55" s="201" t="s">
        <v>12</v>
      </c>
      <c r="I55" s="194" t="s">
        <v>515</v>
      </c>
      <c r="J55" s="207" t="s">
        <v>36</v>
      </c>
      <c r="K55" s="210" t="s">
        <v>11</v>
      </c>
      <c r="L55" s="210" t="s">
        <v>10</v>
      </c>
      <c r="M55" s="201" t="s">
        <v>44</v>
      </c>
      <c r="N55" s="185" t="str">
        <f>Resistors[[#This Row],[Footprint]]</f>
        <v>RES-0805</v>
      </c>
    </row>
    <row r="56" spans="1:14" x14ac:dyDescent="0.25">
      <c r="A56" s="183">
        <f t="shared" si="2"/>
        <v>55</v>
      </c>
      <c r="B56" s="206" t="s">
        <v>513</v>
      </c>
      <c r="C56" s="184" t="str">
        <f t="shared" si="1"/>
        <v>RES</v>
      </c>
      <c r="D5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0.125W Jumper 0805 AECQ</v>
      </c>
      <c r="E56" s="187" t="s">
        <v>514</v>
      </c>
      <c r="F56" s="194" t="s">
        <v>466</v>
      </c>
      <c r="G56" s="188" t="s">
        <v>516</v>
      </c>
      <c r="H56" s="201" t="s">
        <v>12</v>
      </c>
      <c r="I56" s="194" t="s">
        <v>517</v>
      </c>
      <c r="J56" s="207" t="s">
        <v>34</v>
      </c>
      <c r="K56" s="210" t="s">
        <v>11</v>
      </c>
      <c r="L56" s="210" t="s">
        <v>10</v>
      </c>
      <c r="M56" s="201" t="s">
        <v>44</v>
      </c>
      <c r="N56" s="185" t="str">
        <f>Resistors[[#This Row],[Footprint]]</f>
        <v>RES-0805</v>
      </c>
    </row>
    <row r="57" spans="1:14" x14ac:dyDescent="0.25">
      <c r="A57" s="183">
        <f t="shared" si="2"/>
        <v>56</v>
      </c>
      <c r="B57" s="206" t="s">
        <v>513</v>
      </c>
      <c r="C57" s="184" t="str">
        <f t="shared" si="1"/>
        <v>RES</v>
      </c>
      <c r="D5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0.125W 5% 0805 AECQ</v>
      </c>
      <c r="E57" s="190" t="s">
        <v>514</v>
      </c>
      <c r="F57" s="186" t="s">
        <v>466</v>
      </c>
      <c r="G57" s="192" t="s">
        <v>410</v>
      </c>
      <c r="H57" s="213" t="s">
        <v>12</v>
      </c>
      <c r="I57" s="186" t="s">
        <v>518</v>
      </c>
      <c r="J57" s="208" t="s">
        <v>31</v>
      </c>
      <c r="K57" s="211" t="s">
        <v>11</v>
      </c>
      <c r="L57" s="211" t="s">
        <v>10</v>
      </c>
      <c r="M57" s="201" t="s">
        <v>44</v>
      </c>
      <c r="N57" s="185" t="str">
        <f>Resistors[[#This Row],[Footprint]]</f>
        <v>RES-0805</v>
      </c>
    </row>
    <row r="58" spans="1:14" x14ac:dyDescent="0.25">
      <c r="A58" s="183">
        <f t="shared" si="2"/>
        <v>57</v>
      </c>
      <c r="B58" s="206" t="s">
        <v>513</v>
      </c>
      <c r="C58" s="184" t="str">
        <f t="shared" si="1"/>
        <v>RES</v>
      </c>
      <c r="D5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0.5W Jumper 0805 AECQ</v>
      </c>
      <c r="E58" s="187" t="s">
        <v>514</v>
      </c>
      <c r="F58" s="194" t="s">
        <v>66</v>
      </c>
      <c r="G58" s="188" t="s">
        <v>516</v>
      </c>
      <c r="H58" s="201" t="s">
        <v>12</v>
      </c>
      <c r="I58" s="194" t="s">
        <v>519</v>
      </c>
      <c r="J58" s="207" t="s">
        <v>34</v>
      </c>
      <c r="K58" s="210" t="s">
        <v>11</v>
      </c>
      <c r="L58" s="210" t="s">
        <v>10</v>
      </c>
      <c r="M58" s="201" t="s">
        <v>44</v>
      </c>
      <c r="N58" s="185" t="str">
        <f>Resistors[[#This Row],[Footprint]]</f>
        <v>RES-0805</v>
      </c>
    </row>
    <row r="59" spans="1:14" x14ac:dyDescent="0.25">
      <c r="A59" s="183">
        <f t="shared" si="2"/>
        <v>58</v>
      </c>
      <c r="B59" s="206" t="s">
        <v>520</v>
      </c>
      <c r="C59" s="184" t="str">
        <f t="shared" si="1"/>
        <v>RES</v>
      </c>
      <c r="D5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0.1W 1% 0603 AECQ</v>
      </c>
      <c r="E59" s="187" t="s">
        <v>521</v>
      </c>
      <c r="F59" s="194" t="s">
        <v>459</v>
      </c>
      <c r="G59" s="188" t="s">
        <v>13</v>
      </c>
      <c r="H59" s="201" t="s">
        <v>20</v>
      </c>
      <c r="I59" s="194" t="s">
        <v>522</v>
      </c>
      <c r="J59" s="207" t="s">
        <v>36</v>
      </c>
      <c r="K59" s="210" t="s">
        <v>11</v>
      </c>
      <c r="L59" s="210" t="s">
        <v>10</v>
      </c>
      <c r="M59" s="201" t="s">
        <v>44</v>
      </c>
      <c r="N59" s="185" t="str">
        <f>Resistors[[#This Row],[Footprint]]</f>
        <v>RES-0603</v>
      </c>
    </row>
    <row r="60" spans="1:14" x14ac:dyDescent="0.25">
      <c r="A60" s="183">
        <f t="shared" si="2"/>
        <v>59</v>
      </c>
      <c r="B60" s="206" t="s">
        <v>520</v>
      </c>
      <c r="C60" s="184" t="str">
        <f t="shared" si="1"/>
        <v>RES</v>
      </c>
      <c r="D6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0.1W 1% 0603 AECQ</v>
      </c>
      <c r="E60" s="187" t="s">
        <v>521</v>
      </c>
      <c r="F60" s="194" t="s">
        <v>459</v>
      </c>
      <c r="G60" s="188" t="s">
        <v>13</v>
      </c>
      <c r="H60" s="201" t="s">
        <v>20</v>
      </c>
      <c r="I60" s="194" t="s">
        <v>523</v>
      </c>
      <c r="J60" s="207" t="s">
        <v>34</v>
      </c>
      <c r="K60" s="210" t="s">
        <v>11</v>
      </c>
      <c r="L60" s="210" t="s">
        <v>10</v>
      </c>
      <c r="M60" s="201" t="s">
        <v>44</v>
      </c>
      <c r="N60" s="185" t="str">
        <f>Resistors[[#This Row],[Footprint]]</f>
        <v>RES-0603</v>
      </c>
    </row>
    <row r="61" spans="1:14" x14ac:dyDescent="0.25">
      <c r="A61" s="183">
        <f t="shared" si="2"/>
        <v>60</v>
      </c>
      <c r="B61" s="206" t="s">
        <v>520</v>
      </c>
      <c r="C61" s="184" t="str">
        <f t="shared" si="1"/>
        <v>RES</v>
      </c>
      <c r="D6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0.1W 1% 0603 AECQ</v>
      </c>
      <c r="E61" s="190" t="s">
        <v>521</v>
      </c>
      <c r="F61" s="186" t="s">
        <v>459</v>
      </c>
      <c r="G61" s="192" t="s">
        <v>13</v>
      </c>
      <c r="H61" s="213" t="s">
        <v>20</v>
      </c>
      <c r="I61" s="186" t="s">
        <v>524</v>
      </c>
      <c r="J61" s="208" t="s">
        <v>31</v>
      </c>
      <c r="K61" s="211" t="s">
        <v>11</v>
      </c>
      <c r="L61" s="211" t="s">
        <v>10</v>
      </c>
      <c r="M61" s="201" t="s">
        <v>44</v>
      </c>
      <c r="N61" s="185" t="str">
        <f>Resistors[[#This Row],[Footprint]]</f>
        <v>RES-0603</v>
      </c>
    </row>
    <row r="62" spans="1:14" x14ac:dyDescent="0.25">
      <c r="A62" s="183">
        <f t="shared" si="2"/>
        <v>61</v>
      </c>
      <c r="B62" s="206" t="s">
        <v>525</v>
      </c>
      <c r="C62" s="184" t="str">
        <f t="shared" si="1"/>
        <v>RES</v>
      </c>
      <c r="D6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130Ohm 0.25W 1% 1206 AECQ</v>
      </c>
      <c r="E62" s="187" t="s">
        <v>420</v>
      </c>
      <c r="F62" s="191" t="s">
        <v>352</v>
      </c>
      <c r="G62" s="188" t="s">
        <v>13</v>
      </c>
      <c r="H62" s="201" t="s">
        <v>21</v>
      </c>
      <c r="I62" s="194" t="s">
        <v>526</v>
      </c>
      <c r="J62" s="207" t="s">
        <v>36</v>
      </c>
      <c r="K62" s="210" t="s">
        <v>11</v>
      </c>
      <c r="L62" s="210" t="s">
        <v>10</v>
      </c>
      <c r="M62" s="201" t="s">
        <v>44</v>
      </c>
      <c r="N62" s="185" t="str">
        <f>Resistors[[#This Row],[Footprint]]</f>
        <v>RES-1206</v>
      </c>
    </row>
    <row r="63" spans="1:14" x14ac:dyDescent="0.25">
      <c r="A63" s="183">
        <f t="shared" si="2"/>
        <v>62</v>
      </c>
      <c r="B63" s="206" t="s">
        <v>527</v>
      </c>
      <c r="C63" s="184" t="str">
        <f t="shared" si="1"/>
        <v>RES</v>
      </c>
      <c r="D6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160Ohm 0.25W 1% 1206 AECQ</v>
      </c>
      <c r="E63" s="187" t="s">
        <v>427</v>
      </c>
      <c r="F63" s="191" t="s">
        <v>352</v>
      </c>
      <c r="G63" s="188" t="s">
        <v>13</v>
      </c>
      <c r="H63" s="201" t="s">
        <v>21</v>
      </c>
      <c r="I63" s="187" t="s">
        <v>528</v>
      </c>
      <c r="J63" s="207" t="s">
        <v>36</v>
      </c>
      <c r="K63" s="210" t="s">
        <v>11</v>
      </c>
      <c r="L63" s="210" t="s">
        <v>10</v>
      </c>
      <c r="M63" s="201" t="s">
        <v>44</v>
      </c>
      <c r="N63" s="185" t="str">
        <f>Resistors[[#This Row],[Footprint]]</f>
        <v>RES-1206</v>
      </c>
    </row>
    <row r="64" spans="1:14" x14ac:dyDescent="0.25">
      <c r="A64" s="183">
        <f t="shared" si="2"/>
        <v>63</v>
      </c>
      <c r="B64" s="206" t="s">
        <v>529</v>
      </c>
      <c r="C64" s="184" t="str">
        <f t="shared" si="1"/>
        <v>RES</v>
      </c>
      <c r="D6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64" s="190"/>
      <c r="F64" s="186"/>
      <c r="G64" s="192" t="s">
        <v>496</v>
      </c>
      <c r="H64" s="213"/>
      <c r="I64" s="186" t="s">
        <v>530</v>
      </c>
      <c r="J64" s="208"/>
      <c r="K64" s="211"/>
      <c r="L64" s="211" t="s">
        <v>10</v>
      </c>
      <c r="M64" s="201" t="s">
        <v>44</v>
      </c>
      <c r="N64" s="185">
        <f>Resistors[[#This Row],[Footprint]]</f>
        <v>0</v>
      </c>
    </row>
    <row r="65" spans="1:14" x14ac:dyDescent="0.25">
      <c r="A65" s="183">
        <f t="shared" si="2"/>
        <v>64</v>
      </c>
      <c r="B65" s="206" t="s">
        <v>531</v>
      </c>
      <c r="C65" s="184" t="str">
        <f t="shared" si="1"/>
        <v>RES</v>
      </c>
      <c r="D6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65" s="190"/>
      <c r="F65" s="186"/>
      <c r="G65" s="192" t="s">
        <v>496</v>
      </c>
      <c r="H65" s="213"/>
      <c r="I65" s="186" t="s">
        <v>532</v>
      </c>
      <c r="J65" s="208"/>
      <c r="K65" s="211"/>
      <c r="L65" s="211" t="s">
        <v>10</v>
      </c>
      <c r="M65" s="201" t="s">
        <v>44</v>
      </c>
      <c r="N65" s="185">
        <f>Resistors[[#This Row],[Footprint]]</f>
        <v>0</v>
      </c>
    </row>
    <row r="66" spans="1:14" x14ac:dyDescent="0.25">
      <c r="A66" s="183">
        <f t="shared" ref="A66:A97" si="3">ROW()-1</f>
        <v>65</v>
      </c>
      <c r="B66" s="206" t="s">
        <v>533</v>
      </c>
      <c r="C66" s="184" t="str">
        <f t="shared" ref="C66:C129" si="4">"RES"</f>
        <v>RES</v>
      </c>
      <c r="D6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66" s="190"/>
      <c r="F66" s="186"/>
      <c r="G66" s="192" t="s">
        <v>496</v>
      </c>
      <c r="H66" s="213"/>
      <c r="I66" s="186" t="s">
        <v>534</v>
      </c>
      <c r="J66" s="208"/>
      <c r="K66" s="211"/>
      <c r="L66" s="211" t="s">
        <v>10</v>
      </c>
      <c r="M66" s="201" t="s">
        <v>44</v>
      </c>
      <c r="N66" s="185">
        <f>Resistors[[#This Row],[Footprint]]</f>
        <v>0</v>
      </c>
    </row>
    <row r="67" spans="1:14" x14ac:dyDescent="0.25">
      <c r="A67" s="183">
        <f t="shared" si="3"/>
        <v>66</v>
      </c>
      <c r="B67" s="206" t="s">
        <v>533</v>
      </c>
      <c r="C67" s="184" t="str">
        <f t="shared" si="4"/>
        <v>RES</v>
      </c>
      <c r="D6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67" s="190"/>
      <c r="F67" s="186"/>
      <c r="G67" s="192" t="s">
        <v>496</v>
      </c>
      <c r="H67" s="213"/>
      <c r="I67" s="186" t="s">
        <v>535</v>
      </c>
      <c r="J67" s="208"/>
      <c r="K67" s="211"/>
      <c r="L67" s="211" t="s">
        <v>10</v>
      </c>
      <c r="M67" s="201" t="s">
        <v>44</v>
      </c>
      <c r="N67" s="185">
        <f>Resistors[[#This Row],[Footprint]]</f>
        <v>0</v>
      </c>
    </row>
    <row r="68" spans="1:14" x14ac:dyDescent="0.25">
      <c r="A68" s="183">
        <f t="shared" si="3"/>
        <v>67</v>
      </c>
      <c r="B68" s="206" t="s">
        <v>536</v>
      </c>
      <c r="C68" s="184" t="str">
        <f t="shared" si="4"/>
        <v>RES</v>
      </c>
      <c r="D6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240Ohm 0.25W 1% 1206 AECQ</v>
      </c>
      <c r="E68" s="187" t="s">
        <v>537</v>
      </c>
      <c r="F68" s="191" t="s">
        <v>352</v>
      </c>
      <c r="G68" s="188" t="s">
        <v>13</v>
      </c>
      <c r="H68" s="201" t="s">
        <v>21</v>
      </c>
      <c r="I68" s="194" t="s">
        <v>538</v>
      </c>
      <c r="J68" s="207" t="s">
        <v>36</v>
      </c>
      <c r="K68" s="210" t="s">
        <v>11</v>
      </c>
      <c r="L68" s="210" t="s">
        <v>10</v>
      </c>
      <c r="M68" s="201" t="s">
        <v>44</v>
      </c>
      <c r="N68" s="185" t="str">
        <f>Resistors[[#This Row],[Footprint]]</f>
        <v>RES-1206</v>
      </c>
    </row>
    <row r="69" spans="1:14" x14ac:dyDescent="0.25">
      <c r="A69" s="183">
        <f t="shared" si="3"/>
        <v>68</v>
      </c>
      <c r="B69" s="206" t="s">
        <v>536</v>
      </c>
      <c r="C69" s="184" t="str">
        <f t="shared" si="4"/>
        <v>RES</v>
      </c>
      <c r="D6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240Ohm 0.25W 1% 1206 AECQ</v>
      </c>
      <c r="E69" s="187" t="s">
        <v>537</v>
      </c>
      <c r="F69" s="191" t="s">
        <v>352</v>
      </c>
      <c r="G69" s="188" t="s">
        <v>13</v>
      </c>
      <c r="H69" s="201" t="s">
        <v>21</v>
      </c>
      <c r="I69" s="194" t="s">
        <v>539</v>
      </c>
      <c r="J69" s="207" t="s">
        <v>34</v>
      </c>
      <c r="K69" s="210" t="s">
        <v>11</v>
      </c>
      <c r="L69" s="210" t="s">
        <v>10</v>
      </c>
      <c r="M69" s="201" t="s">
        <v>44</v>
      </c>
      <c r="N69" s="185" t="str">
        <f>Resistors[[#This Row],[Footprint]]</f>
        <v>RES-1206</v>
      </c>
    </row>
    <row r="70" spans="1:14" x14ac:dyDescent="0.25">
      <c r="A70" s="183">
        <f t="shared" si="3"/>
        <v>69</v>
      </c>
      <c r="B70" s="206" t="s">
        <v>536</v>
      </c>
      <c r="C70" s="184" t="str">
        <f t="shared" si="4"/>
        <v>RES</v>
      </c>
      <c r="D7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70" s="190"/>
      <c r="F70" s="186"/>
      <c r="G70" s="192" t="s">
        <v>496</v>
      </c>
      <c r="H70" s="213"/>
      <c r="I70" s="186" t="s">
        <v>540</v>
      </c>
      <c r="J70" s="208"/>
      <c r="K70" s="211"/>
      <c r="L70" s="211" t="s">
        <v>10</v>
      </c>
      <c r="M70" s="201" t="s">
        <v>44</v>
      </c>
      <c r="N70" s="185">
        <f>Resistors[[#This Row],[Footprint]]</f>
        <v>0</v>
      </c>
    </row>
    <row r="71" spans="1:14" x14ac:dyDescent="0.25">
      <c r="A71" s="183">
        <f t="shared" si="3"/>
        <v>70</v>
      </c>
      <c r="B71" s="206" t="s">
        <v>541</v>
      </c>
      <c r="C71" s="184" t="str">
        <f t="shared" si="4"/>
        <v>RES</v>
      </c>
      <c r="D7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2KOhm 0.25W 5% 1206 AECQ</v>
      </c>
      <c r="E71" s="187" t="s">
        <v>462</v>
      </c>
      <c r="F71" s="191" t="s">
        <v>352</v>
      </c>
      <c r="G71" s="188" t="s">
        <v>410</v>
      </c>
      <c r="H71" s="201" t="s">
        <v>21</v>
      </c>
      <c r="I71" s="194" t="s">
        <v>542</v>
      </c>
      <c r="J71" s="207" t="s">
        <v>36</v>
      </c>
      <c r="K71" s="210" t="s">
        <v>11</v>
      </c>
      <c r="L71" s="210" t="s">
        <v>10</v>
      </c>
      <c r="M71" s="201" t="s">
        <v>44</v>
      </c>
      <c r="N71" s="185" t="str">
        <f>Resistors[[#This Row],[Footprint]]</f>
        <v>RES-1206</v>
      </c>
    </row>
    <row r="72" spans="1:14" x14ac:dyDescent="0.25">
      <c r="A72" s="183">
        <f t="shared" si="3"/>
        <v>71</v>
      </c>
      <c r="B72" s="206" t="s">
        <v>541</v>
      </c>
      <c r="C72" s="184" t="str">
        <f t="shared" si="4"/>
        <v>RES</v>
      </c>
      <c r="D7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2KOhm 0.25W 5% 1206 AECQ</v>
      </c>
      <c r="E72" s="187" t="s">
        <v>462</v>
      </c>
      <c r="F72" s="191" t="s">
        <v>352</v>
      </c>
      <c r="G72" s="188" t="s">
        <v>410</v>
      </c>
      <c r="H72" s="201" t="s">
        <v>21</v>
      </c>
      <c r="I72" s="194" t="s">
        <v>543</v>
      </c>
      <c r="J72" s="207" t="s">
        <v>9</v>
      </c>
      <c r="K72" s="210" t="s">
        <v>11</v>
      </c>
      <c r="L72" s="210" t="s">
        <v>10</v>
      </c>
      <c r="M72" s="201" t="s">
        <v>44</v>
      </c>
      <c r="N72" s="185" t="str">
        <f>Resistors[[#This Row],[Footprint]]</f>
        <v>RES-1206</v>
      </c>
    </row>
    <row r="73" spans="1:14" x14ac:dyDescent="0.25">
      <c r="A73" s="183">
        <f t="shared" si="3"/>
        <v>72</v>
      </c>
      <c r="B73" s="206" t="s">
        <v>541</v>
      </c>
      <c r="C73" s="184" t="str">
        <f t="shared" si="4"/>
        <v>RES</v>
      </c>
      <c r="D7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2KOhm 0.25W 5% 1206 AECQ</v>
      </c>
      <c r="E73" s="190" t="s">
        <v>462</v>
      </c>
      <c r="F73" s="189" t="s">
        <v>352</v>
      </c>
      <c r="G73" s="192" t="s">
        <v>410</v>
      </c>
      <c r="H73" s="213" t="s">
        <v>21</v>
      </c>
      <c r="I73" s="186" t="s">
        <v>544</v>
      </c>
      <c r="J73" s="208" t="s">
        <v>31</v>
      </c>
      <c r="K73" s="211" t="s">
        <v>11</v>
      </c>
      <c r="L73" s="211" t="s">
        <v>10</v>
      </c>
      <c r="M73" s="201" t="s">
        <v>44</v>
      </c>
      <c r="N73" s="185" t="str">
        <f>Resistors[[#This Row],[Footprint]]</f>
        <v>RES-1206</v>
      </c>
    </row>
    <row r="74" spans="1:14" x14ac:dyDescent="0.25">
      <c r="A74" s="183">
        <f t="shared" si="3"/>
        <v>73</v>
      </c>
      <c r="B74" s="206" t="s">
        <v>545</v>
      </c>
      <c r="C74" s="184" t="str">
        <f t="shared" si="4"/>
        <v>RES</v>
      </c>
      <c r="D7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0.25W 1% 1206 AECQ</v>
      </c>
      <c r="E74" s="190" t="s">
        <v>411</v>
      </c>
      <c r="F74" s="186" t="s">
        <v>352</v>
      </c>
      <c r="G74" s="192" t="s">
        <v>13</v>
      </c>
      <c r="H74" s="213" t="s">
        <v>21</v>
      </c>
      <c r="I74" s="186" t="s">
        <v>546</v>
      </c>
      <c r="J74" s="208" t="s">
        <v>31</v>
      </c>
      <c r="K74" s="211" t="s">
        <v>11</v>
      </c>
      <c r="L74" s="211" t="s">
        <v>10</v>
      </c>
      <c r="M74" s="201" t="s">
        <v>44</v>
      </c>
      <c r="N74" s="185" t="str">
        <f>Resistors[[#This Row],[Footprint]]</f>
        <v>RES-1206</v>
      </c>
    </row>
    <row r="75" spans="1:14" x14ac:dyDescent="0.25">
      <c r="A75" s="183">
        <f t="shared" si="3"/>
        <v>74</v>
      </c>
      <c r="B75" s="206" t="s">
        <v>545</v>
      </c>
      <c r="C75" s="184" t="str">
        <f t="shared" si="4"/>
        <v>RES</v>
      </c>
      <c r="D7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0.25W 5% 1206 AECQ</v>
      </c>
      <c r="E75" s="190" t="s">
        <v>411</v>
      </c>
      <c r="F75" s="186" t="s">
        <v>352</v>
      </c>
      <c r="G75" s="192" t="s">
        <v>410</v>
      </c>
      <c r="H75" s="213" t="s">
        <v>21</v>
      </c>
      <c r="I75" s="186" t="s">
        <v>547</v>
      </c>
      <c r="J75" s="208" t="s">
        <v>31</v>
      </c>
      <c r="K75" s="211" t="s">
        <v>11</v>
      </c>
      <c r="L75" s="211" t="s">
        <v>10</v>
      </c>
      <c r="M75" s="201" t="s">
        <v>44</v>
      </c>
      <c r="N75" s="185" t="str">
        <f>Resistors[[#This Row],[Footprint]]</f>
        <v>RES-1206</v>
      </c>
    </row>
    <row r="76" spans="1:14" x14ac:dyDescent="0.25">
      <c r="A76" s="183">
        <f t="shared" si="3"/>
        <v>75</v>
      </c>
      <c r="B76" s="206" t="s">
        <v>545</v>
      </c>
      <c r="C76" s="184" t="str">
        <f t="shared" si="4"/>
        <v>RES</v>
      </c>
      <c r="D7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0.25W 1% 1206 AECQ</v>
      </c>
      <c r="E76" s="187" t="s">
        <v>411</v>
      </c>
      <c r="F76" s="191" t="s">
        <v>352</v>
      </c>
      <c r="G76" s="188" t="s">
        <v>13</v>
      </c>
      <c r="H76" s="201" t="s">
        <v>21</v>
      </c>
      <c r="I76" s="194" t="s">
        <v>548</v>
      </c>
      <c r="J76" s="207" t="s">
        <v>28</v>
      </c>
      <c r="K76" s="210" t="s">
        <v>11</v>
      </c>
      <c r="L76" s="210" t="s">
        <v>10</v>
      </c>
      <c r="M76" s="201" t="s">
        <v>44</v>
      </c>
      <c r="N76" s="185" t="str">
        <f>Resistors[[#This Row],[Footprint]]</f>
        <v>RES-1206</v>
      </c>
    </row>
    <row r="77" spans="1:14" x14ac:dyDescent="0.25">
      <c r="A77" s="183">
        <f t="shared" si="3"/>
        <v>76</v>
      </c>
      <c r="B77" s="206" t="s">
        <v>545</v>
      </c>
      <c r="C77" s="184" t="str">
        <f t="shared" si="4"/>
        <v>RES</v>
      </c>
      <c r="D7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0.25W 1% 1206 AECQ</v>
      </c>
      <c r="E77" s="187" t="s">
        <v>411</v>
      </c>
      <c r="F77" s="191" t="s">
        <v>352</v>
      </c>
      <c r="G77" s="188" t="s">
        <v>13</v>
      </c>
      <c r="H77" s="201" t="s">
        <v>21</v>
      </c>
      <c r="I77" s="194" t="s">
        <v>549</v>
      </c>
      <c r="J77" s="207" t="s">
        <v>36</v>
      </c>
      <c r="K77" s="210" t="s">
        <v>11</v>
      </c>
      <c r="L77" s="210" t="s">
        <v>10</v>
      </c>
      <c r="M77" s="201" t="s">
        <v>44</v>
      </c>
      <c r="N77" s="185" t="str">
        <f>Resistors[[#This Row],[Footprint]]</f>
        <v>RES-1206</v>
      </c>
    </row>
    <row r="78" spans="1:14" x14ac:dyDescent="0.25">
      <c r="A78" s="183">
        <f t="shared" si="3"/>
        <v>77</v>
      </c>
      <c r="B78" s="206" t="s">
        <v>550</v>
      </c>
      <c r="C78" s="184" t="str">
        <f t="shared" si="4"/>
        <v>RES</v>
      </c>
      <c r="D7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383Ohm 0.25W 1% 1206 AECQ</v>
      </c>
      <c r="E78" s="187" t="s">
        <v>551</v>
      </c>
      <c r="F78" s="191" t="s">
        <v>352</v>
      </c>
      <c r="G78" s="188" t="s">
        <v>13</v>
      </c>
      <c r="H78" s="201" t="s">
        <v>21</v>
      </c>
      <c r="I78" s="194" t="s">
        <v>552</v>
      </c>
      <c r="J78" s="207" t="s">
        <v>36</v>
      </c>
      <c r="K78" s="210" t="s">
        <v>11</v>
      </c>
      <c r="L78" s="210" t="s">
        <v>10</v>
      </c>
      <c r="M78" s="201" t="s">
        <v>44</v>
      </c>
      <c r="N78" s="185" t="str">
        <f>Resistors[[#This Row],[Footprint]]</f>
        <v>RES-1206</v>
      </c>
    </row>
    <row r="79" spans="1:14" x14ac:dyDescent="0.25">
      <c r="A79" s="183">
        <f t="shared" si="3"/>
        <v>78</v>
      </c>
      <c r="B79" s="206" t="s">
        <v>550</v>
      </c>
      <c r="C79" s="184" t="str">
        <f t="shared" si="4"/>
        <v>RES</v>
      </c>
      <c r="D7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383Ohm 0.25W 1% 1206 AECQ</v>
      </c>
      <c r="E79" s="187" t="s">
        <v>551</v>
      </c>
      <c r="F79" s="191" t="s">
        <v>352</v>
      </c>
      <c r="G79" s="188" t="s">
        <v>13</v>
      </c>
      <c r="H79" s="201" t="s">
        <v>21</v>
      </c>
      <c r="I79" s="194" t="s">
        <v>553</v>
      </c>
      <c r="J79" s="207" t="s">
        <v>31</v>
      </c>
      <c r="K79" s="210" t="s">
        <v>11</v>
      </c>
      <c r="L79" s="210" t="s">
        <v>10</v>
      </c>
      <c r="M79" s="201" t="s">
        <v>44</v>
      </c>
      <c r="N79" s="185" t="str">
        <f>Resistors[[#This Row],[Footprint]]</f>
        <v>RES-1206</v>
      </c>
    </row>
    <row r="80" spans="1:14" x14ac:dyDescent="0.25">
      <c r="A80" s="183">
        <f t="shared" si="3"/>
        <v>79</v>
      </c>
      <c r="B80" s="206" t="s">
        <v>554</v>
      </c>
      <c r="C80" s="184" t="str">
        <f t="shared" si="4"/>
        <v>RES</v>
      </c>
      <c r="D8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390Ohm 0.25W 1% 1206 AECQ</v>
      </c>
      <c r="E80" s="187" t="s">
        <v>555</v>
      </c>
      <c r="F80" s="191" t="s">
        <v>352</v>
      </c>
      <c r="G80" s="188" t="s">
        <v>13</v>
      </c>
      <c r="H80" s="201" t="s">
        <v>21</v>
      </c>
      <c r="I80" s="194" t="s">
        <v>556</v>
      </c>
      <c r="J80" s="207" t="s">
        <v>36</v>
      </c>
      <c r="K80" s="210" t="s">
        <v>11</v>
      </c>
      <c r="L80" s="210" t="s">
        <v>10</v>
      </c>
      <c r="M80" s="201" t="s">
        <v>44</v>
      </c>
      <c r="N80" s="185" t="str">
        <f>Resistors[[#This Row],[Footprint]]</f>
        <v>RES-1206</v>
      </c>
    </row>
    <row r="81" spans="1:14" x14ac:dyDescent="0.25">
      <c r="A81" s="183">
        <f t="shared" si="3"/>
        <v>80</v>
      </c>
      <c r="B81" s="206" t="s">
        <v>554</v>
      </c>
      <c r="C81" s="184" t="str">
        <f t="shared" si="4"/>
        <v>RES</v>
      </c>
      <c r="D8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390Ohm 0.25W 1% 1206 AECQ</v>
      </c>
      <c r="E81" s="187" t="s">
        <v>555</v>
      </c>
      <c r="F81" s="191" t="s">
        <v>352</v>
      </c>
      <c r="G81" s="188" t="s">
        <v>13</v>
      </c>
      <c r="H81" s="201" t="s">
        <v>21</v>
      </c>
      <c r="I81" s="194" t="s">
        <v>557</v>
      </c>
      <c r="J81" s="207" t="s">
        <v>31</v>
      </c>
      <c r="K81" s="210" t="s">
        <v>11</v>
      </c>
      <c r="L81" s="210" t="s">
        <v>10</v>
      </c>
      <c r="M81" s="201" t="s">
        <v>44</v>
      </c>
      <c r="N81" s="185" t="str">
        <f>Resistors[[#This Row],[Footprint]]</f>
        <v>RES-1206</v>
      </c>
    </row>
    <row r="82" spans="1:14" x14ac:dyDescent="0.25">
      <c r="A82" s="183">
        <f t="shared" si="3"/>
        <v>81</v>
      </c>
      <c r="B82" s="206" t="s">
        <v>558</v>
      </c>
      <c r="C82" s="184" t="str">
        <f t="shared" si="4"/>
        <v>RES</v>
      </c>
      <c r="D8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430Ohm 0.25W 1% 1206 AECQ</v>
      </c>
      <c r="E82" s="187" t="s">
        <v>479</v>
      </c>
      <c r="F82" s="191" t="s">
        <v>352</v>
      </c>
      <c r="G82" s="188" t="s">
        <v>13</v>
      </c>
      <c r="H82" s="201" t="s">
        <v>21</v>
      </c>
      <c r="I82" s="194" t="s">
        <v>559</v>
      </c>
      <c r="J82" s="207" t="s">
        <v>36</v>
      </c>
      <c r="K82" s="210" t="s">
        <v>11</v>
      </c>
      <c r="L82" s="210" t="s">
        <v>10</v>
      </c>
      <c r="M82" s="201" t="s">
        <v>44</v>
      </c>
      <c r="N82" s="185" t="str">
        <f>Resistors[[#This Row],[Footprint]]</f>
        <v>RES-1206</v>
      </c>
    </row>
    <row r="83" spans="1:14" x14ac:dyDescent="0.25">
      <c r="A83" s="183">
        <f t="shared" si="3"/>
        <v>82</v>
      </c>
      <c r="B83" s="206" t="s">
        <v>558</v>
      </c>
      <c r="C83" s="184" t="str">
        <f t="shared" si="4"/>
        <v>RES</v>
      </c>
      <c r="D8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430Ohm 0.25W 1% 1206 AECQ</v>
      </c>
      <c r="E83" s="187" t="s">
        <v>479</v>
      </c>
      <c r="F83" s="191" t="s">
        <v>352</v>
      </c>
      <c r="G83" s="188" t="s">
        <v>13</v>
      </c>
      <c r="H83" s="201" t="s">
        <v>21</v>
      </c>
      <c r="I83" s="194" t="s">
        <v>560</v>
      </c>
      <c r="J83" s="207" t="s">
        <v>31</v>
      </c>
      <c r="K83" s="210" t="s">
        <v>11</v>
      </c>
      <c r="L83" s="210" t="s">
        <v>10</v>
      </c>
      <c r="M83" s="201" t="s">
        <v>44</v>
      </c>
      <c r="N83" s="185" t="str">
        <f>Resistors[[#This Row],[Footprint]]</f>
        <v>RES-1206</v>
      </c>
    </row>
    <row r="84" spans="1:14" x14ac:dyDescent="0.25">
      <c r="A84" s="183">
        <f t="shared" si="3"/>
        <v>83</v>
      </c>
      <c r="B84" s="206" t="s">
        <v>561</v>
      </c>
      <c r="C84" s="184" t="str">
        <f t="shared" si="4"/>
        <v>RES</v>
      </c>
      <c r="D8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442Ohm 0.25W 1% 1206 AECQ</v>
      </c>
      <c r="E84" s="187" t="s">
        <v>562</v>
      </c>
      <c r="F84" s="191" t="s">
        <v>352</v>
      </c>
      <c r="G84" s="188" t="s">
        <v>13</v>
      </c>
      <c r="H84" s="201" t="s">
        <v>21</v>
      </c>
      <c r="I84" s="194" t="s">
        <v>563</v>
      </c>
      <c r="J84" s="207" t="s">
        <v>36</v>
      </c>
      <c r="K84" s="210" t="s">
        <v>11</v>
      </c>
      <c r="L84" s="210" t="s">
        <v>10</v>
      </c>
      <c r="M84" s="201" t="s">
        <v>44</v>
      </c>
      <c r="N84" s="185" t="str">
        <f>Resistors[[#This Row],[Footprint]]</f>
        <v>RES-1206</v>
      </c>
    </row>
    <row r="85" spans="1:14" x14ac:dyDescent="0.25">
      <c r="A85" s="183">
        <f t="shared" si="3"/>
        <v>84</v>
      </c>
      <c r="B85" s="206" t="s">
        <v>564</v>
      </c>
      <c r="C85" s="184" t="str">
        <f t="shared" si="4"/>
        <v>RES</v>
      </c>
      <c r="D8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499Ohm 0.25W 1% 1206 AECQ</v>
      </c>
      <c r="E85" s="187" t="s">
        <v>565</v>
      </c>
      <c r="F85" s="191" t="s">
        <v>352</v>
      </c>
      <c r="G85" s="188" t="s">
        <v>13</v>
      </c>
      <c r="H85" s="201" t="s">
        <v>21</v>
      </c>
      <c r="I85" s="194" t="s">
        <v>566</v>
      </c>
      <c r="J85" s="207" t="s">
        <v>36</v>
      </c>
      <c r="K85" s="210" t="s">
        <v>11</v>
      </c>
      <c r="L85" s="210" t="s">
        <v>10</v>
      </c>
      <c r="M85" s="201" t="s">
        <v>44</v>
      </c>
      <c r="N85" s="185" t="str">
        <f>Resistors[[#This Row],[Footprint]]</f>
        <v>RES-1206</v>
      </c>
    </row>
    <row r="86" spans="1:14" x14ac:dyDescent="0.25">
      <c r="A86" s="183">
        <f t="shared" si="3"/>
        <v>85</v>
      </c>
      <c r="B86" s="206" t="s">
        <v>564</v>
      </c>
      <c r="C86" s="184" t="str">
        <f t="shared" si="4"/>
        <v>RES</v>
      </c>
      <c r="D8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499Ohm 0.25W 1% 1206 AECQ</v>
      </c>
      <c r="E86" s="187" t="s">
        <v>565</v>
      </c>
      <c r="F86" s="191" t="s">
        <v>352</v>
      </c>
      <c r="G86" s="188" t="s">
        <v>13</v>
      </c>
      <c r="H86" s="201" t="s">
        <v>21</v>
      </c>
      <c r="I86" s="194" t="s">
        <v>567</v>
      </c>
      <c r="J86" s="207" t="s">
        <v>31</v>
      </c>
      <c r="K86" s="210" t="s">
        <v>11</v>
      </c>
      <c r="L86" s="210" t="s">
        <v>10</v>
      </c>
      <c r="M86" s="201" t="s">
        <v>44</v>
      </c>
      <c r="N86" s="185" t="str">
        <f>Resistors[[#This Row],[Footprint]]</f>
        <v>RES-1206</v>
      </c>
    </row>
    <row r="87" spans="1:14" x14ac:dyDescent="0.25">
      <c r="A87" s="183">
        <f t="shared" si="3"/>
        <v>86</v>
      </c>
      <c r="B87" s="206" t="s">
        <v>568</v>
      </c>
      <c r="C87" s="184" t="str">
        <f t="shared" si="4"/>
        <v>RES</v>
      </c>
      <c r="D8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499Ohm 0.25W 1% 1206 AECQ</v>
      </c>
      <c r="E87" s="187" t="s">
        <v>565</v>
      </c>
      <c r="F87" s="191" t="s">
        <v>352</v>
      </c>
      <c r="G87" s="188" t="s">
        <v>13</v>
      </c>
      <c r="H87" s="201" t="s">
        <v>21</v>
      </c>
      <c r="I87" s="194" t="s">
        <v>569</v>
      </c>
      <c r="J87" s="207" t="s">
        <v>34</v>
      </c>
      <c r="K87" s="210" t="s">
        <v>11</v>
      </c>
      <c r="L87" s="210" t="s">
        <v>10</v>
      </c>
      <c r="M87" s="201" t="s">
        <v>44</v>
      </c>
      <c r="N87" s="185" t="str">
        <f>Resistors[[#This Row],[Footprint]]</f>
        <v>RES-1206</v>
      </c>
    </row>
    <row r="88" spans="1:14" x14ac:dyDescent="0.25">
      <c r="A88" s="183">
        <f t="shared" si="3"/>
        <v>87</v>
      </c>
      <c r="B88" s="206" t="s">
        <v>570</v>
      </c>
      <c r="C88" s="184" t="str">
        <f t="shared" si="4"/>
        <v>RES</v>
      </c>
      <c r="D8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560Ohm 0.25W 1% 1206 AECQ</v>
      </c>
      <c r="E88" s="187" t="s">
        <v>571</v>
      </c>
      <c r="F88" s="191" t="s">
        <v>352</v>
      </c>
      <c r="G88" s="188" t="s">
        <v>13</v>
      </c>
      <c r="H88" s="201" t="s">
        <v>21</v>
      </c>
      <c r="I88" s="194" t="s">
        <v>572</v>
      </c>
      <c r="J88" s="207" t="s">
        <v>36</v>
      </c>
      <c r="K88" s="210" t="s">
        <v>11</v>
      </c>
      <c r="L88" s="210" t="s">
        <v>10</v>
      </c>
      <c r="M88" s="201" t="s">
        <v>44</v>
      </c>
      <c r="N88" s="185" t="str">
        <f>Resistors[[#This Row],[Footprint]]</f>
        <v>RES-1206</v>
      </c>
    </row>
    <row r="89" spans="1:14" x14ac:dyDescent="0.25">
      <c r="A89" s="183">
        <f t="shared" si="3"/>
        <v>88</v>
      </c>
      <c r="B89" s="206" t="s">
        <v>570</v>
      </c>
      <c r="C89" s="184" t="str">
        <f t="shared" si="4"/>
        <v>RES</v>
      </c>
      <c r="D8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560Ohm 0.25W 1% 1206 AECQ</v>
      </c>
      <c r="E89" s="187" t="s">
        <v>571</v>
      </c>
      <c r="F89" s="191" t="s">
        <v>352</v>
      </c>
      <c r="G89" s="188" t="s">
        <v>13</v>
      </c>
      <c r="H89" s="201" t="s">
        <v>21</v>
      </c>
      <c r="I89" s="194" t="s">
        <v>573</v>
      </c>
      <c r="J89" s="207" t="s">
        <v>31</v>
      </c>
      <c r="K89" s="210" t="s">
        <v>11</v>
      </c>
      <c r="L89" s="210" t="s">
        <v>10</v>
      </c>
      <c r="M89" s="201" t="s">
        <v>44</v>
      </c>
      <c r="N89" s="185" t="str">
        <f>Resistors[[#This Row],[Footprint]]</f>
        <v>RES-1206</v>
      </c>
    </row>
    <row r="90" spans="1:14" x14ac:dyDescent="0.25">
      <c r="A90" s="183">
        <f t="shared" si="3"/>
        <v>89</v>
      </c>
      <c r="B90" s="206" t="s">
        <v>574</v>
      </c>
      <c r="C90" s="184" t="str">
        <f t="shared" si="4"/>
        <v>RES</v>
      </c>
      <c r="D9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580Ohm  1% 1206 </v>
      </c>
      <c r="E90" s="190" t="s">
        <v>575</v>
      </c>
      <c r="F90" s="186"/>
      <c r="G90" s="192" t="s">
        <v>13</v>
      </c>
      <c r="H90" s="213" t="s">
        <v>21</v>
      </c>
      <c r="I90" s="186" t="s">
        <v>576</v>
      </c>
      <c r="J90" s="208" t="s">
        <v>36</v>
      </c>
      <c r="K90" s="211"/>
      <c r="L90" s="211" t="s">
        <v>10</v>
      </c>
      <c r="M90" s="201" t="s">
        <v>44</v>
      </c>
      <c r="N90" s="185" t="str">
        <f>Resistors[[#This Row],[Footprint]]</f>
        <v>RES-1206</v>
      </c>
    </row>
    <row r="91" spans="1:14" x14ac:dyDescent="0.25">
      <c r="A91" s="183">
        <f t="shared" si="3"/>
        <v>90</v>
      </c>
      <c r="B91" s="206" t="s">
        <v>574</v>
      </c>
      <c r="C91" s="184" t="str">
        <f t="shared" si="4"/>
        <v>RES</v>
      </c>
      <c r="D9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590Ohm 0.25W 1% 1206 AECQ</v>
      </c>
      <c r="E91" s="187" t="s">
        <v>577</v>
      </c>
      <c r="F91" s="191" t="s">
        <v>352</v>
      </c>
      <c r="G91" s="188" t="s">
        <v>13</v>
      </c>
      <c r="H91" s="201" t="s">
        <v>21</v>
      </c>
      <c r="I91" s="194" t="s">
        <v>578</v>
      </c>
      <c r="J91" s="207" t="s">
        <v>36</v>
      </c>
      <c r="K91" s="210" t="s">
        <v>11</v>
      </c>
      <c r="L91" s="210" t="s">
        <v>10</v>
      </c>
      <c r="M91" s="201" t="s">
        <v>44</v>
      </c>
      <c r="N91" s="185" t="str">
        <f>Resistors[[#This Row],[Footprint]]</f>
        <v>RES-1206</v>
      </c>
    </row>
    <row r="92" spans="1:14" x14ac:dyDescent="0.25">
      <c r="A92" s="183">
        <f t="shared" si="3"/>
        <v>91</v>
      </c>
      <c r="B92" s="206" t="s">
        <v>574</v>
      </c>
      <c r="C92" s="184" t="str">
        <f t="shared" si="4"/>
        <v>RES</v>
      </c>
      <c r="D9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576Ohm 0.25W 1% 1206 AECQ</v>
      </c>
      <c r="E92" s="187" t="s">
        <v>579</v>
      </c>
      <c r="F92" s="191" t="s">
        <v>352</v>
      </c>
      <c r="G92" s="188" t="s">
        <v>13</v>
      </c>
      <c r="H92" s="201" t="s">
        <v>21</v>
      </c>
      <c r="I92" s="194" t="s">
        <v>580</v>
      </c>
      <c r="J92" s="207" t="s">
        <v>36</v>
      </c>
      <c r="K92" s="210" t="s">
        <v>11</v>
      </c>
      <c r="L92" s="210" t="s">
        <v>10</v>
      </c>
      <c r="M92" s="201" t="s">
        <v>44</v>
      </c>
      <c r="N92" s="185" t="str">
        <f>Resistors[[#This Row],[Footprint]]</f>
        <v>RES-1206</v>
      </c>
    </row>
    <row r="93" spans="1:14" x14ac:dyDescent="0.25">
      <c r="A93" s="183">
        <f t="shared" si="3"/>
        <v>92</v>
      </c>
      <c r="B93" s="206" t="s">
        <v>574</v>
      </c>
      <c r="C93" s="184" t="str">
        <f t="shared" si="4"/>
        <v>RES</v>
      </c>
      <c r="D9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590Ohm 0.25W 1% 1206 AECQ</v>
      </c>
      <c r="E93" s="187" t="s">
        <v>577</v>
      </c>
      <c r="F93" s="191" t="s">
        <v>352</v>
      </c>
      <c r="G93" s="188" t="s">
        <v>13</v>
      </c>
      <c r="H93" s="201" t="s">
        <v>21</v>
      </c>
      <c r="I93" s="194" t="s">
        <v>581</v>
      </c>
      <c r="J93" s="207" t="s">
        <v>31</v>
      </c>
      <c r="K93" s="210" t="s">
        <v>11</v>
      </c>
      <c r="L93" s="210" t="s">
        <v>10</v>
      </c>
      <c r="M93" s="201" t="s">
        <v>44</v>
      </c>
      <c r="N93" s="185" t="str">
        <f>Resistors[[#This Row],[Footprint]]</f>
        <v>RES-1206</v>
      </c>
    </row>
    <row r="94" spans="1:14" x14ac:dyDescent="0.25">
      <c r="A94" s="183">
        <f t="shared" si="3"/>
        <v>93</v>
      </c>
      <c r="B94" s="206" t="s">
        <v>582</v>
      </c>
      <c r="C94" s="184" t="str">
        <f t="shared" si="4"/>
        <v>RES</v>
      </c>
      <c r="D9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649Ohm 0.25W 1% 1206 AECQ</v>
      </c>
      <c r="E94" s="187" t="s">
        <v>583</v>
      </c>
      <c r="F94" s="191" t="s">
        <v>352</v>
      </c>
      <c r="G94" s="188" t="s">
        <v>13</v>
      </c>
      <c r="H94" s="201" t="s">
        <v>21</v>
      </c>
      <c r="I94" s="194" t="s">
        <v>584</v>
      </c>
      <c r="J94" s="207" t="s">
        <v>36</v>
      </c>
      <c r="K94" s="210" t="s">
        <v>11</v>
      </c>
      <c r="L94" s="210" t="s">
        <v>10</v>
      </c>
      <c r="M94" s="201" t="s">
        <v>44</v>
      </c>
      <c r="N94" s="185" t="str">
        <f>Resistors[[#This Row],[Footprint]]</f>
        <v>RES-1206</v>
      </c>
    </row>
    <row r="95" spans="1:14" x14ac:dyDescent="0.25">
      <c r="A95" s="183">
        <f t="shared" si="3"/>
        <v>94</v>
      </c>
      <c r="B95" s="206" t="s">
        <v>582</v>
      </c>
      <c r="C95" s="184" t="str">
        <f t="shared" si="4"/>
        <v>RES</v>
      </c>
      <c r="D9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649Ohm 0.25W 1% 1206 AECQ</v>
      </c>
      <c r="E95" s="187" t="s">
        <v>583</v>
      </c>
      <c r="F95" s="191" t="s">
        <v>352</v>
      </c>
      <c r="G95" s="188" t="s">
        <v>13</v>
      </c>
      <c r="H95" s="201" t="s">
        <v>21</v>
      </c>
      <c r="I95" s="194" t="s">
        <v>585</v>
      </c>
      <c r="J95" s="207" t="s">
        <v>31</v>
      </c>
      <c r="K95" s="210" t="s">
        <v>11</v>
      </c>
      <c r="L95" s="210" t="s">
        <v>10</v>
      </c>
      <c r="M95" s="201" t="s">
        <v>44</v>
      </c>
      <c r="N95" s="185" t="str">
        <f>Resistors[[#This Row],[Footprint]]</f>
        <v>RES-1206</v>
      </c>
    </row>
    <row r="96" spans="1:14" x14ac:dyDescent="0.25">
      <c r="A96" s="183">
        <f t="shared" si="3"/>
        <v>95</v>
      </c>
      <c r="B96" s="206" t="s">
        <v>586</v>
      </c>
      <c r="C96" s="184" t="str">
        <f t="shared" si="4"/>
        <v>RES</v>
      </c>
      <c r="D9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665Ohm 0.25W 1% 1206 AECQ</v>
      </c>
      <c r="E96" s="187" t="s">
        <v>587</v>
      </c>
      <c r="F96" s="191" t="s">
        <v>352</v>
      </c>
      <c r="G96" s="188" t="s">
        <v>13</v>
      </c>
      <c r="H96" s="201" t="s">
        <v>21</v>
      </c>
      <c r="I96" s="194" t="s">
        <v>588</v>
      </c>
      <c r="J96" s="207" t="s">
        <v>36</v>
      </c>
      <c r="K96" s="210" t="s">
        <v>11</v>
      </c>
      <c r="L96" s="210" t="s">
        <v>10</v>
      </c>
      <c r="M96" s="201" t="s">
        <v>44</v>
      </c>
      <c r="N96" s="185" t="str">
        <f>Resistors[[#This Row],[Footprint]]</f>
        <v>RES-1206</v>
      </c>
    </row>
    <row r="97" spans="1:14" x14ac:dyDescent="0.25">
      <c r="A97" s="183">
        <f t="shared" si="3"/>
        <v>96</v>
      </c>
      <c r="B97" s="206" t="s">
        <v>586</v>
      </c>
      <c r="C97" s="184" t="str">
        <f t="shared" si="4"/>
        <v>RES</v>
      </c>
      <c r="D9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665Ohm 0.25W 1% 1206 AECQ</v>
      </c>
      <c r="E97" s="187" t="s">
        <v>587</v>
      </c>
      <c r="F97" s="191" t="s">
        <v>352</v>
      </c>
      <c r="G97" s="188" t="s">
        <v>13</v>
      </c>
      <c r="H97" s="201" t="s">
        <v>21</v>
      </c>
      <c r="I97" s="194" t="s">
        <v>589</v>
      </c>
      <c r="J97" s="207" t="s">
        <v>31</v>
      </c>
      <c r="K97" s="210" t="s">
        <v>11</v>
      </c>
      <c r="L97" s="210" t="s">
        <v>10</v>
      </c>
      <c r="M97" s="201" t="s">
        <v>44</v>
      </c>
      <c r="N97" s="185" t="str">
        <f>Resistors[[#This Row],[Footprint]]</f>
        <v>RES-1206</v>
      </c>
    </row>
    <row r="98" spans="1:14" x14ac:dyDescent="0.25">
      <c r="A98" s="183">
        <f t="shared" ref="A98:A129" si="5">ROW()-1</f>
        <v>97</v>
      </c>
      <c r="B98" s="206" t="s">
        <v>590</v>
      </c>
      <c r="C98" s="184" t="str">
        <f t="shared" si="4"/>
        <v>RES</v>
      </c>
      <c r="D9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 0.25W 1% 1206 AECQ</v>
      </c>
      <c r="E98" s="190"/>
      <c r="F98" s="191" t="s">
        <v>352</v>
      </c>
      <c r="G98" s="188" t="s">
        <v>13</v>
      </c>
      <c r="H98" s="201" t="s">
        <v>21</v>
      </c>
      <c r="I98" s="194" t="s">
        <v>591</v>
      </c>
      <c r="J98" s="207" t="s">
        <v>36</v>
      </c>
      <c r="K98" s="210" t="s">
        <v>11</v>
      </c>
      <c r="L98" s="210" t="s">
        <v>10</v>
      </c>
      <c r="M98" s="201" t="s">
        <v>44</v>
      </c>
      <c r="N98" s="185" t="str">
        <f>Resistors[[#This Row],[Footprint]]</f>
        <v>RES-1206</v>
      </c>
    </row>
    <row r="99" spans="1:14" x14ac:dyDescent="0.25">
      <c r="A99" s="183">
        <f t="shared" si="5"/>
        <v>98</v>
      </c>
      <c r="B99" s="206" t="s">
        <v>590</v>
      </c>
      <c r="C99" s="184" t="str">
        <f t="shared" si="4"/>
        <v>RES</v>
      </c>
      <c r="D9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  1% 1206 AECQ</v>
      </c>
      <c r="E99" s="190"/>
      <c r="F99" s="186"/>
      <c r="G99" s="188" t="s">
        <v>13</v>
      </c>
      <c r="H99" s="201" t="s">
        <v>21</v>
      </c>
      <c r="I99" s="194" t="s">
        <v>592</v>
      </c>
      <c r="J99" s="207" t="s">
        <v>31</v>
      </c>
      <c r="K99" s="210" t="s">
        <v>11</v>
      </c>
      <c r="L99" s="210" t="s">
        <v>10</v>
      </c>
      <c r="M99" s="201" t="s">
        <v>44</v>
      </c>
      <c r="N99" s="185" t="str">
        <f>Resistors[[#This Row],[Footprint]]</f>
        <v>RES-1206</v>
      </c>
    </row>
    <row r="100" spans="1:14" x14ac:dyDescent="0.25">
      <c r="A100" s="183">
        <f t="shared" si="5"/>
        <v>99</v>
      </c>
      <c r="B100" s="206" t="s">
        <v>593</v>
      </c>
      <c r="C100" s="184" t="str">
        <f t="shared" si="4"/>
        <v>RES</v>
      </c>
      <c r="D10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0.125W 1% 0805 AECQ</v>
      </c>
      <c r="E100" s="187" t="s">
        <v>411</v>
      </c>
      <c r="F100" s="194" t="s">
        <v>466</v>
      </c>
      <c r="G100" s="195" t="s">
        <v>13</v>
      </c>
      <c r="H100" s="201" t="s">
        <v>12</v>
      </c>
      <c r="I100" s="194" t="s">
        <v>594</v>
      </c>
      <c r="J100" s="207" t="s">
        <v>30</v>
      </c>
      <c r="K100" s="210" t="s">
        <v>11</v>
      </c>
      <c r="L100" s="210" t="s">
        <v>10</v>
      </c>
      <c r="M100" s="201" t="s">
        <v>44</v>
      </c>
      <c r="N100" s="185" t="str">
        <f>Resistors[[#This Row],[Footprint]]</f>
        <v>RES-0805</v>
      </c>
    </row>
    <row r="101" spans="1:14" x14ac:dyDescent="0.25">
      <c r="A101" s="183">
        <f t="shared" si="5"/>
        <v>100</v>
      </c>
      <c r="B101" s="206" t="s">
        <v>595</v>
      </c>
      <c r="C101" s="184" t="str">
        <f t="shared" si="4"/>
        <v>RES</v>
      </c>
      <c r="D10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0.1W 1% 0603 AECQ</v>
      </c>
      <c r="E101" s="187" t="s">
        <v>521</v>
      </c>
      <c r="F101" s="194" t="s">
        <v>459</v>
      </c>
      <c r="G101" s="188" t="s">
        <v>13</v>
      </c>
      <c r="H101" s="201" t="s">
        <v>20</v>
      </c>
      <c r="I101" s="194" t="s">
        <v>596</v>
      </c>
      <c r="J101" s="207" t="s">
        <v>28</v>
      </c>
      <c r="K101" s="210" t="s">
        <v>11</v>
      </c>
      <c r="L101" s="210" t="s">
        <v>10</v>
      </c>
      <c r="M101" s="201" t="s">
        <v>44</v>
      </c>
      <c r="N101" s="185" t="str">
        <f>Resistors[[#This Row],[Footprint]]</f>
        <v>RES-0603</v>
      </c>
    </row>
    <row r="102" spans="1:14" x14ac:dyDescent="0.25">
      <c r="A102" s="183">
        <f t="shared" si="5"/>
        <v>101</v>
      </c>
      <c r="B102" s="206" t="s">
        <v>595</v>
      </c>
      <c r="C102" s="184" t="str">
        <f t="shared" si="4"/>
        <v>RES</v>
      </c>
      <c r="D10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0.125W 1% 0603 AECQ</v>
      </c>
      <c r="E102" s="187" t="s">
        <v>521</v>
      </c>
      <c r="F102" s="194" t="s">
        <v>466</v>
      </c>
      <c r="G102" s="188" t="s">
        <v>13</v>
      </c>
      <c r="H102" s="201" t="s">
        <v>20</v>
      </c>
      <c r="I102" s="202" t="s">
        <v>597</v>
      </c>
      <c r="J102" s="207" t="s">
        <v>34</v>
      </c>
      <c r="K102" s="210" t="s">
        <v>11</v>
      </c>
      <c r="L102" s="210" t="s">
        <v>10</v>
      </c>
      <c r="M102" s="201" t="s">
        <v>44</v>
      </c>
      <c r="N102" s="185" t="str">
        <f>Resistors[[#This Row],[Footprint]]</f>
        <v>RES-0603</v>
      </c>
    </row>
    <row r="103" spans="1:14" x14ac:dyDescent="0.25">
      <c r="A103" s="183">
        <f t="shared" si="5"/>
        <v>102</v>
      </c>
      <c r="B103" s="206" t="s">
        <v>598</v>
      </c>
      <c r="C103" s="184" t="str">
        <f t="shared" si="4"/>
        <v>RES</v>
      </c>
      <c r="D10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3.6KOhm 0.125W 5% 0805 AECQ</v>
      </c>
      <c r="E103" s="187" t="s">
        <v>599</v>
      </c>
      <c r="F103" s="194" t="s">
        <v>466</v>
      </c>
      <c r="G103" s="188" t="s">
        <v>410</v>
      </c>
      <c r="H103" s="201" t="s">
        <v>12</v>
      </c>
      <c r="I103" s="194" t="s">
        <v>600</v>
      </c>
      <c r="J103" s="207" t="s">
        <v>33</v>
      </c>
      <c r="K103" s="210" t="s">
        <v>11</v>
      </c>
      <c r="L103" s="210" t="s">
        <v>10</v>
      </c>
      <c r="M103" s="201" t="s">
        <v>44</v>
      </c>
      <c r="N103" s="185" t="str">
        <f>Resistors[[#This Row],[Footprint]]</f>
        <v>RES-0805</v>
      </c>
    </row>
    <row r="104" spans="1:14" x14ac:dyDescent="0.25">
      <c r="A104" s="183">
        <f t="shared" si="5"/>
        <v>103</v>
      </c>
      <c r="B104" s="206" t="s">
        <v>598</v>
      </c>
      <c r="C104" s="184" t="str">
        <f t="shared" si="4"/>
        <v>RES</v>
      </c>
      <c r="D10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3.6KOhm 0.125W 5% 0805 AECQ</v>
      </c>
      <c r="E104" s="187" t="s">
        <v>599</v>
      </c>
      <c r="F104" s="194" t="s">
        <v>466</v>
      </c>
      <c r="G104" s="188" t="s">
        <v>410</v>
      </c>
      <c r="H104" s="201" t="s">
        <v>12</v>
      </c>
      <c r="I104" s="194" t="s">
        <v>601</v>
      </c>
      <c r="J104" s="207" t="s">
        <v>9</v>
      </c>
      <c r="K104" s="210" t="s">
        <v>11</v>
      </c>
      <c r="L104" s="210" t="s">
        <v>10</v>
      </c>
      <c r="M104" s="201" t="s">
        <v>44</v>
      </c>
      <c r="N104" s="185" t="str">
        <f>Resistors[[#This Row],[Footprint]]</f>
        <v>RES-0805</v>
      </c>
    </row>
    <row r="105" spans="1:14" x14ac:dyDescent="0.25">
      <c r="A105" s="183">
        <f t="shared" si="5"/>
        <v>104</v>
      </c>
      <c r="B105" s="206" t="s">
        <v>598</v>
      </c>
      <c r="C105" s="184" t="str">
        <f t="shared" si="4"/>
        <v>RES</v>
      </c>
      <c r="D10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3.6KOhm 0.125W 5% 0805 AECQ</v>
      </c>
      <c r="E105" s="187" t="s">
        <v>599</v>
      </c>
      <c r="F105" s="194" t="s">
        <v>466</v>
      </c>
      <c r="G105" s="188" t="s">
        <v>410</v>
      </c>
      <c r="H105" s="201" t="s">
        <v>12</v>
      </c>
      <c r="I105" s="194" t="s">
        <v>602</v>
      </c>
      <c r="J105" s="207" t="s">
        <v>9</v>
      </c>
      <c r="K105" s="210" t="s">
        <v>11</v>
      </c>
      <c r="L105" s="210" t="s">
        <v>10</v>
      </c>
      <c r="M105" s="201" t="s">
        <v>44</v>
      </c>
      <c r="N105" s="185" t="str">
        <f>Resistors[[#This Row],[Footprint]]</f>
        <v>RES-0805</v>
      </c>
    </row>
    <row r="106" spans="1:14" x14ac:dyDescent="0.25">
      <c r="A106" s="183">
        <f t="shared" si="5"/>
        <v>105</v>
      </c>
      <c r="B106" s="206" t="s">
        <v>598</v>
      </c>
      <c r="C106" s="184" t="str">
        <f t="shared" si="4"/>
        <v>RES</v>
      </c>
      <c r="D10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3.6KOhm 0.125W 5% 0805 AECQ</v>
      </c>
      <c r="E106" s="187" t="s">
        <v>599</v>
      </c>
      <c r="F106" s="194" t="s">
        <v>466</v>
      </c>
      <c r="G106" s="188" t="s">
        <v>410</v>
      </c>
      <c r="H106" s="201" t="s">
        <v>12</v>
      </c>
      <c r="I106" s="196" t="s">
        <v>603</v>
      </c>
      <c r="J106" s="207" t="s">
        <v>34</v>
      </c>
      <c r="K106" s="210" t="s">
        <v>11</v>
      </c>
      <c r="L106" s="210" t="s">
        <v>10</v>
      </c>
      <c r="M106" s="201" t="s">
        <v>44</v>
      </c>
      <c r="N106" s="185" t="str">
        <f>Resistors[[#This Row],[Footprint]]</f>
        <v>RES-0805</v>
      </c>
    </row>
    <row r="107" spans="1:14" x14ac:dyDescent="0.25">
      <c r="A107" s="183">
        <f t="shared" si="5"/>
        <v>106</v>
      </c>
      <c r="B107" s="206" t="s">
        <v>598</v>
      </c>
      <c r="C107" s="184" t="str">
        <f t="shared" si="4"/>
        <v>RES</v>
      </c>
      <c r="D10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3.6KOhm 0.125W 1% 0805 AECQ</v>
      </c>
      <c r="E107" s="187" t="s">
        <v>599</v>
      </c>
      <c r="F107" s="194" t="s">
        <v>466</v>
      </c>
      <c r="G107" s="188" t="s">
        <v>13</v>
      </c>
      <c r="H107" s="201" t="s">
        <v>12</v>
      </c>
      <c r="I107" s="186" t="s">
        <v>604</v>
      </c>
      <c r="J107" s="207" t="s">
        <v>34</v>
      </c>
      <c r="K107" s="210" t="s">
        <v>11</v>
      </c>
      <c r="L107" s="210" t="s">
        <v>10</v>
      </c>
      <c r="M107" s="201" t="s">
        <v>44</v>
      </c>
      <c r="N107" s="185" t="str">
        <f>Resistors[[#This Row],[Footprint]]</f>
        <v>RES-0805</v>
      </c>
    </row>
    <row r="108" spans="1:14" x14ac:dyDescent="0.25">
      <c r="A108" s="183">
        <f t="shared" si="5"/>
        <v>107</v>
      </c>
      <c r="B108" s="206" t="s">
        <v>605</v>
      </c>
      <c r="C108" s="184" t="str">
        <f t="shared" si="4"/>
        <v>RES</v>
      </c>
      <c r="D10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4.53KOhm 0.125W 1% 0805 AECQ</v>
      </c>
      <c r="E108" s="187" t="s">
        <v>606</v>
      </c>
      <c r="F108" s="194" t="s">
        <v>466</v>
      </c>
      <c r="G108" s="188" t="s">
        <v>13</v>
      </c>
      <c r="H108" s="201" t="s">
        <v>12</v>
      </c>
      <c r="I108" s="194" t="s">
        <v>607</v>
      </c>
      <c r="J108" s="207" t="s">
        <v>9</v>
      </c>
      <c r="K108" s="210" t="s">
        <v>11</v>
      </c>
      <c r="L108" s="210" t="s">
        <v>10</v>
      </c>
      <c r="M108" s="201" t="s">
        <v>44</v>
      </c>
      <c r="N108" s="185" t="str">
        <f>Resistors[[#This Row],[Footprint]]</f>
        <v>RES-0805</v>
      </c>
    </row>
    <row r="109" spans="1:14" x14ac:dyDescent="0.25">
      <c r="A109" s="183">
        <f t="shared" si="5"/>
        <v>108</v>
      </c>
      <c r="B109" s="206" t="s">
        <v>608</v>
      </c>
      <c r="C109" s="184" t="str">
        <f t="shared" si="4"/>
        <v>RES</v>
      </c>
      <c r="D10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38.3KOhm 0.125W 1% 0805 AECQ</v>
      </c>
      <c r="E109" s="187" t="s">
        <v>609</v>
      </c>
      <c r="F109" s="194" t="s">
        <v>466</v>
      </c>
      <c r="G109" s="188" t="s">
        <v>13</v>
      </c>
      <c r="H109" s="201" t="s">
        <v>12</v>
      </c>
      <c r="I109" s="194" t="s">
        <v>610</v>
      </c>
      <c r="J109" s="207" t="s">
        <v>9</v>
      </c>
      <c r="K109" s="210" t="s">
        <v>11</v>
      </c>
      <c r="L109" s="210" t="s">
        <v>10</v>
      </c>
      <c r="M109" s="201" t="s">
        <v>44</v>
      </c>
      <c r="N109" s="185" t="str">
        <f>Resistors[[#This Row],[Footprint]]</f>
        <v>RES-0805</v>
      </c>
    </row>
    <row r="110" spans="1:14" x14ac:dyDescent="0.25">
      <c r="A110" s="183">
        <f t="shared" si="5"/>
        <v>109</v>
      </c>
      <c r="B110" s="206" t="s">
        <v>611</v>
      </c>
      <c r="C110" s="184" t="str">
        <f t="shared" si="4"/>
        <v>RES</v>
      </c>
      <c r="D11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22KOhm 0.125W 1% 0805 AECQ</v>
      </c>
      <c r="E110" s="187" t="s">
        <v>499</v>
      </c>
      <c r="F110" s="194" t="s">
        <v>466</v>
      </c>
      <c r="G110" s="188" t="s">
        <v>13</v>
      </c>
      <c r="H110" s="201" t="s">
        <v>12</v>
      </c>
      <c r="I110" s="194" t="s">
        <v>612</v>
      </c>
      <c r="J110" s="207" t="s">
        <v>36</v>
      </c>
      <c r="K110" s="210" t="s">
        <v>11</v>
      </c>
      <c r="L110" s="210" t="s">
        <v>10</v>
      </c>
      <c r="M110" s="201" t="s">
        <v>44</v>
      </c>
      <c r="N110" s="185" t="str">
        <f>Resistors[[#This Row],[Footprint]]</f>
        <v>RES-0805</v>
      </c>
    </row>
    <row r="111" spans="1:14" x14ac:dyDescent="0.25">
      <c r="A111" s="183">
        <f t="shared" si="5"/>
        <v>110</v>
      </c>
      <c r="B111" s="206" t="s">
        <v>613</v>
      </c>
      <c r="C111" s="184" t="str">
        <f t="shared" si="4"/>
        <v>RES</v>
      </c>
      <c r="D11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47KOhm 0.125W 1% 0805 AECQ</v>
      </c>
      <c r="E111" s="187" t="s">
        <v>614</v>
      </c>
      <c r="F111" s="194" t="s">
        <v>466</v>
      </c>
      <c r="G111" s="188" t="s">
        <v>13</v>
      </c>
      <c r="H111" s="201" t="s">
        <v>12</v>
      </c>
      <c r="I111" s="194" t="s">
        <v>615</v>
      </c>
      <c r="J111" s="207" t="s">
        <v>36</v>
      </c>
      <c r="K111" s="210" t="s">
        <v>11</v>
      </c>
      <c r="L111" s="210" t="s">
        <v>10</v>
      </c>
      <c r="M111" s="201" t="s">
        <v>44</v>
      </c>
      <c r="N111" s="185" t="str">
        <f>Resistors[[#This Row],[Footprint]]</f>
        <v>RES-0805</v>
      </c>
    </row>
    <row r="112" spans="1:14" x14ac:dyDescent="0.25">
      <c r="A112" s="183">
        <f t="shared" si="5"/>
        <v>111</v>
      </c>
      <c r="B112" s="206" t="s">
        <v>616</v>
      </c>
      <c r="C112" s="184" t="str">
        <f t="shared" si="4"/>
        <v>RES</v>
      </c>
      <c r="D11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330KOhm 0.125W 1% 0805 AECQ</v>
      </c>
      <c r="E112" s="187" t="s">
        <v>617</v>
      </c>
      <c r="F112" s="194" t="s">
        <v>466</v>
      </c>
      <c r="G112" s="188" t="s">
        <v>13</v>
      </c>
      <c r="H112" s="201" t="s">
        <v>12</v>
      </c>
      <c r="I112" s="194" t="s">
        <v>618</v>
      </c>
      <c r="J112" s="207" t="s">
        <v>31</v>
      </c>
      <c r="K112" s="210" t="s">
        <v>11</v>
      </c>
      <c r="L112" s="210" t="s">
        <v>10</v>
      </c>
      <c r="M112" s="201" t="s">
        <v>44</v>
      </c>
      <c r="N112" s="185" t="str">
        <f>Resistors[[#This Row],[Footprint]]</f>
        <v>RES-0805</v>
      </c>
    </row>
    <row r="113" spans="1:14" x14ac:dyDescent="0.25">
      <c r="A113" s="183">
        <f t="shared" si="5"/>
        <v>112</v>
      </c>
      <c r="B113" s="206" t="s">
        <v>616</v>
      </c>
      <c r="C113" s="184" t="str">
        <f t="shared" si="4"/>
        <v>RES</v>
      </c>
      <c r="D11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330KOhm 0.125W 1% 0805 AECQ</v>
      </c>
      <c r="E113" s="187" t="s">
        <v>617</v>
      </c>
      <c r="F113" s="194" t="s">
        <v>466</v>
      </c>
      <c r="G113" s="188" t="s">
        <v>13</v>
      </c>
      <c r="H113" s="201" t="s">
        <v>12</v>
      </c>
      <c r="I113" s="194" t="s">
        <v>619</v>
      </c>
      <c r="J113" s="207" t="s">
        <v>36</v>
      </c>
      <c r="K113" s="210" t="s">
        <v>11</v>
      </c>
      <c r="L113" s="210" t="s">
        <v>10</v>
      </c>
      <c r="M113" s="201" t="s">
        <v>44</v>
      </c>
      <c r="N113" s="185" t="str">
        <f>Resistors[[#This Row],[Footprint]]</f>
        <v>RES-0805</v>
      </c>
    </row>
    <row r="114" spans="1:14" x14ac:dyDescent="0.25">
      <c r="A114" s="183">
        <f t="shared" si="5"/>
        <v>113</v>
      </c>
      <c r="B114" s="206" t="s">
        <v>620</v>
      </c>
      <c r="C114" s="184" t="str">
        <f t="shared" si="4"/>
        <v>RES</v>
      </c>
      <c r="D11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0.125W 1% 0805 AECQ</v>
      </c>
      <c r="E114" s="187" t="s">
        <v>521</v>
      </c>
      <c r="F114" s="194" t="s">
        <v>466</v>
      </c>
      <c r="G114" s="188" t="s">
        <v>13</v>
      </c>
      <c r="H114" s="201" t="s">
        <v>12</v>
      </c>
      <c r="I114" s="194" t="s">
        <v>621</v>
      </c>
      <c r="J114" s="207" t="s">
        <v>36</v>
      </c>
      <c r="K114" s="210" t="s">
        <v>11</v>
      </c>
      <c r="L114" s="210" t="s">
        <v>10</v>
      </c>
      <c r="M114" s="201" t="s">
        <v>44</v>
      </c>
      <c r="N114" s="185" t="str">
        <f>Resistors[[#This Row],[Footprint]]</f>
        <v>RES-0805</v>
      </c>
    </row>
    <row r="115" spans="1:14" x14ac:dyDescent="0.25">
      <c r="A115" s="183">
        <f t="shared" si="5"/>
        <v>114</v>
      </c>
      <c r="B115" s="206" t="s">
        <v>620</v>
      </c>
      <c r="C115" s="184" t="str">
        <f t="shared" si="4"/>
        <v>RES</v>
      </c>
      <c r="D11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0.125W 1% 0805 AECQ</v>
      </c>
      <c r="E115" s="187" t="s">
        <v>521</v>
      </c>
      <c r="F115" s="194" t="s">
        <v>466</v>
      </c>
      <c r="G115" s="188" t="s">
        <v>13</v>
      </c>
      <c r="H115" s="201" t="s">
        <v>12</v>
      </c>
      <c r="I115" s="194" t="s">
        <v>622</v>
      </c>
      <c r="J115" s="207" t="s">
        <v>30</v>
      </c>
      <c r="K115" s="210" t="s">
        <v>11</v>
      </c>
      <c r="L115" s="210" t="s">
        <v>10</v>
      </c>
      <c r="M115" s="201" t="s">
        <v>44</v>
      </c>
      <c r="N115" s="185" t="str">
        <f>Resistors[[#This Row],[Footprint]]</f>
        <v>RES-0805</v>
      </c>
    </row>
    <row r="116" spans="1:14" x14ac:dyDescent="0.25">
      <c r="A116" s="183">
        <f t="shared" si="5"/>
        <v>115</v>
      </c>
      <c r="B116" s="206" t="s">
        <v>620</v>
      </c>
      <c r="C116" s="184" t="str">
        <f t="shared" si="4"/>
        <v>RES</v>
      </c>
      <c r="D11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0.125W 1% 0805 AECQ</v>
      </c>
      <c r="E116" s="187" t="s">
        <v>521</v>
      </c>
      <c r="F116" s="194" t="s">
        <v>466</v>
      </c>
      <c r="G116" s="188" t="s">
        <v>13</v>
      </c>
      <c r="H116" s="201" t="s">
        <v>12</v>
      </c>
      <c r="I116" s="194" t="s">
        <v>623</v>
      </c>
      <c r="J116" s="207" t="s">
        <v>36</v>
      </c>
      <c r="K116" s="210" t="s">
        <v>11</v>
      </c>
      <c r="L116" s="210" t="s">
        <v>10</v>
      </c>
      <c r="M116" s="201" t="s">
        <v>44</v>
      </c>
      <c r="N116" s="185" t="str">
        <f>Resistors[[#This Row],[Footprint]]</f>
        <v>RES-0805</v>
      </c>
    </row>
    <row r="117" spans="1:14" x14ac:dyDescent="0.25">
      <c r="A117" s="183">
        <f t="shared" si="5"/>
        <v>116</v>
      </c>
      <c r="B117" s="206" t="s">
        <v>620</v>
      </c>
      <c r="C117" s="184" t="str">
        <f t="shared" si="4"/>
        <v>RES</v>
      </c>
      <c r="D11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100KOhm 0.125W 1% 0805 AECQ</v>
      </c>
      <c r="E117" s="187" t="s">
        <v>521</v>
      </c>
      <c r="F117" s="194" t="s">
        <v>466</v>
      </c>
      <c r="G117" s="188" t="s">
        <v>13</v>
      </c>
      <c r="H117" s="201" t="s">
        <v>12</v>
      </c>
      <c r="I117" s="194" t="s">
        <v>624</v>
      </c>
      <c r="J117" s="207" t="s">
        <v>31</v>
      </c>
      <c r="K117" s="210" t="s">
        <v>11</v>
      </c>
      <c r="L117" s="210" t="s">
        <v>10</v>
      </c>
      <c r="M117" s="201" t="s">
        <v>44</v>
      </c>
      <c r="N117" s="185" t="str">
        <f>Resistors[[#This Row],[Footprint]]</f>
        <v>RES-0805</v>
      </c>
    </row>
    <row r="118" spans="1:14" x14ac:dyDescent="0.25">
      <c r="A118" s="183">
        <f t="shared" si="5"/>
        <v>117</v>
      </c>
      <c r="B118" s="206" t="s">
        <v>625</v>
      </c>
      <c r="C118" s="184" t="str">
        <f t="shared" si="4"/>
        <v>RES</v>
      </c>
      <c r="D11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2KOhm 0.125W 5% 0805 AECQ</v>
      </c>
      <c r="E118" s="187" t="s">
        <v>462</v>
      </c>
      <c r="F118" s="194" t="s">
        <v>466</v>
      </c>
      <c r="G118" s="188" t="s">
        <v>410</v>
      </c>
      <c r="H118" s="201" t="s">
        <v>12</v>
      </c>
      <c r="I118" s="194" t="s">
        <v>626</v>
      </c>
      <c r="J118" s="207" t="s">
        <v>30</v>
      </c>
      <c r="K118" s="210" t="s">
        <v>11</v>
      </c>
      <c r="L118" s="210" t="s">
        <v>10</v>
      </c>
      <c r="M118" s="201" t="s">
        <v>44</v>
      </c>
      <c r="N118" s="185" t="str">
        <f>Resistors[[#This Row],[Footprint]]</f>
        <v>RES-0805</v>
      </c>
    </row>
    <row r="119" spans="1:14" x14ac:dyDescent="0.25">
      <c r="A119" s="183">
        <f t="shared" si="5"/>
        <v>118</v>
      </c>
      <c r="B119" s="206" t="s">
        <v>625</v>
      </c>
      <c r="C119" s="184" t="str">
        <f t="shared" si="4"/>
        <v>RES</v>
      </c>
      <c r="D11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2KOhm 0.125W 5% 0805 AECQ</v>
      </c>
      <c r="E119" s="187" t="s">
        <v>462</v>
      </c>
      <c r="F119" s="194" t="s">
        <v>466</v>
      </c>
      <c r="G119" s="188" t="s">
        <v>410</v>
      </c>
      <c r="H119" s="201" t="s">
        <v>12</v>
      </c>
      <c r="I119" s="194" t="s">
        <v>627</v>
      </c>
      <c r="J119" s="207" t="s">
        <v>9</v>
      </c>
      <c r="K119" s="210" t="s">
        <v>11</v>
      </c>
      <c r="L119" s="210" t="s">
        <v>10</v>
      </c>
      <c r="M119" s="201" t="s">
        <v>44</v>
      </c>
      <c r="N119" s="185" t="str">
        <f>Resistors[[#This Row],[Footprint]]</f>
        <v>RES-0805</v>
      </c>
    </row>
    <row r="120" spans="1:14" x14ac:dyDescent="0.25">
      <c r="A120" s="183">
        <f t="shared" si="5"/>
        <v>119</v>
      </c>
      <c r="B120" s="206" t="s">
        <v>628</v>
      </c>
      <c r="C120" s="184" t="str">
        <f t="shared" si="4"/>
        <v>RES</v>
      </c>
      <c r="D12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5.6KOhm 0.125W 1% 0805 AECQ</v>
      </c>
      <c r="E120" s="187" t="s">
        <v>629</v>
      </c>
      <c r="F120" s="194" t="s">
        <v>466</v>
      </c>
      <c r="G120" s="188" t="s">
        <v>13</v>
      </c>
      <c r="H120" s="201" t="s">
        <v>12</v>
      </c>
      <c r="I120" s="194" t="s">
        <v>630</v>
      </c>
      <c r="J120" s="207" t="s">
        <v>9</v>
      </c>
      <c r="K120" s="210" t="s">
        <v>11</v>
      </c>
      <c r="L120" s="210" t="s">
        <v>10</v>
      </c>
      <c r="M120" s="201" t="s">
        <v>44</v>
      </c>
      <c r="N120" s="185" t="str">
        <f>Resistors[[#This Row],[Footprint]]</f>
        <v>RES-0805</v>
      </c>
    </row>
    <row r="121" spans="1:14" x14ac:dyDescent="0.25">
      <c r="A121" s="183">
        <f t="shared" si="5"/>
        <v>120</v>
      </c>
      <c r="B121" s="206" t="s">
        <v>631</v>
      </c>
      <c r="C121" s="184" t="str">
        <f t="shared" si="4"/>
        <v>RES</v>
      </c>
      <c r="D12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6.34KOhm 0.125W 1% 0805 AECQ</v>
      </c>
      <c r="E121" s="187" t="s">
        <v>632</v>
      </c>
      <c r="F121" s="194" t="s">
        <v>466</v>
      </c>
      <c r="G121" s="188" t="s">
        <v>13</v>
      </c>
      <c r="H121" s="201" t="s">
        <v>12</v>
      </c>
      <c r="I121" s="194" t="s">
        <v>633</v>
      </c>
      <c r="J121" s="207" t="s">
        <v>9</v>
      </c>
      <c r="K121" s="210" t="s">
        <v>11</v>
      </c>
      <c r="L121" s="210" t="s">
        <v>10</v>
      </c>
      <c r="M121" s="201" t="s">
        <v>44</v>
      </c>
      <c r="N121" s="185" t="str">
        <f>Resistors[[#This Row],[Footprint]]</f>
        <v>RES-0805</v>
      </c>
    </row>
    <row r="122" spans="1:14" x14ac:dyDescent="0.25">
      <c r="A122" s="183">
        <f t="shared" si="5"/>
        <v>121</v>
      </c>
      <c r="B122" s="206" t="s">
        <v>634</v>
      </c>
      <c r="C122" s="184" t="str">
        <f t="shared" si="4"/>
        <v>RES</v>
      </c>
      <c r="D12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7.32KOhm 0.125W 1% 0805 AECQ</v>
      </c>
      <c r="E122" s="187" t="s">
        <v>635</v>
      </c>
      <c r="F122" s="194" t="s">
        <v>466</v>
      </c>
      <c r="G122" s="188" t="s">
        <v>13</v>
      </c>
      <c r="H122" s="201" t="s">
        <v>12</v>
      </c>
      <c r="I122" s="194" t="s">
        <v>636</v>
      </c>
      <c r="J122" s="207" t="s">
        <v>9</v>
      </c>
      <c r="K122" s="210" t="s">
        <v>11</v>
      </c>
      <c r="L122" s="210" t="s">
        <v>10</v>
      </c>
      <c r="M122" s="201" t="s">
        <v>44</v>
      </c>
      <c r="N122" s="185" t="str">
        <f>Resistors[[#This Row],[Footprint]]</f>
        <v>RES-0805</v>
      </c>
    </row>
    <row r="123" spans="1:14" x14ac:dyDescent="0.25">
      <c r="A123" s="183">
        <f t="shared" si="5"/>
        <v>122</v>
      </c>
      <c r="B123" s="206" t="s">
        <v>637</v>
      </c>
      <c r="C123" s="184" t="str">
        <f t="shared" si="4"/>
        <v>RES</v>
      </c>
      <c r="D12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0.1W 1% 0603 AECQ</v>
      </c>
      <c r="E123" s="187" t="s">
        <v>411</v>
      </c>
      <c r="F123" s="194" t="s">
        <v>459</v>
      </c>
      <c r="G123" s="188" t="s">
        <v>13</v>
      </c>
      <c r="H123" s="201" t="s">
        <v>20</v>
      </c>
      <c r="I123" s="202" t="s">
        <v>638</v>
      </c>
      <c r="J123" s="207" t="s">
        <v>36</v>
      </c>
      <c r="K123" s="210" t="s">
        <v>11</v>
      </c>
      <c r="L123" s="210" t="s">
        <v>10</v>
      </c>
      <c r="M123" s="201" t="s">
        <v>44</v>
      </c>
      <c r="N123" s="185" t="str">
        <f>Resistors[[#This Row],[Footprint]]</f>
        <v>RES-0603</v>
      </c>
    </row>
    <row r="124" spans="1:14" x14ac:dyDescent="0.25">
      <c r="A124" s="183">
        <f t="shared" si="5"/>
        <v>123</v>
      </c>
      <c r="B124" s="206" t="s">
        <v>637</v>
      </c>
      <c r="C124" s="184" t="str">
        <f t="shared" si="4"/>
        <v>RES</v>
      </c>
      <c r="D12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10KOhm 0.1W 1% 0603 AECQ</v>
      </c>
      <c r="E124" s="187" t="s">
        <v>411</v>
      </c>
      <c r="F124" s="194" t="s">
        <v>459</v>
      </c>
      <c r="G124" s="188" t="s">
        <v>13</v>
      </c>
      <c r="H124" s="201" t="s">
        <v>20</v>
      </c>
      <c r="I124" s="202" t="s">
        <v>639</v>
      </c>
      <c r="J124" s="207" t="s">
        <v>34</v>
      </c>
      <c r="K124" s="210" t="s">
        <v>11</v>
      </c>
      <c r="L124" s="210" t="s">
        <v>10</v>
      </c>
      <c r="M124" s="201" t="s">
        <v>44</v>
      </c>
      <c r="N124" s="185" t="str">
        <f>Resistors[[#This Row],[Footprint]]</f>
        <v>RES-0603</v>
      </c>
    </row>
    <row r="125" spans="1:14" x14ac:dyDescent="0.25">
      <c r="A125" s="183">
        <f t="shared" si="5"/>
        <v>124</v>
      </c>
      <c r="B125" s="206" t="s">
        <v>637</v>
      </c>
      <c r="C125" s="184" t="str">
        <f t="shared" si="4"/>
        <v>RES</v>
      </c>
      <c r="D12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1.5KOhm 0.1W 1% 0603 AECQ</v>
      </c>
      <c r="E125" s="187" t="s">
        <v>640</v>
      </c>
      <c r="F125" s="194" t="s">
        <v>459</v>
      </c>
      <c r="G125" s="188" t="s">
        <v>13</v>
      </c>
      <c r="H125" s="201" t="s">
        <v>20</v>
      </c>
      <c r="I125" s="203" t="s">
        <v>641</v>
      </c>
      <c r="J125" s="207" t="s">
        <v>31</v>
      </c>
      <c r="K125" s="210" t="s">
        <v>11</v>
      </c>
      <c r="L125" s="210" t="s">
        <v>10</v>
      </c>
      <c r="M125" s="201" t="s">
        <v>44</v>
      </c>
      <c r="N125" s="185" t="str">
        <f>Resistors[[#This Row],[Footprint]]</f>
        <v>RES-0603</v>
      </c>
    </row>
    <row r="126" spans="1:14" x14ac:dyDescent="0.25">
      <c r="A126" s="183">
        <f t="shared" si="5"/>
        <v>125</v>
      </c>
      <c r="B126" s="206" t="s">
        <v>642</v>
      </c>
      <c r="C126" s="184" t="str">
        <f t="shared" si="4"/>
        <v>RES</v>
      </c>
      <c r="D12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24Ohm 0.5W 0,01 1206 AECQ</v>
      </c>
      <c r="E126" s="187" t="s">
        <v>643</v>
      </c>
      <c r="F126" s="194" t="s">
        <v>66</v>
      </c>
      <c r="G126" s="195">
        <v>0.01</v>
      </c>
      <c r="H126" s="201" t="s">
        <v>21</v>
      </c>
      <c r="I126" s="194" t="s">
        <v>644</v>
      </c>
      <c r="J126" s="207" t="s">
        <v>36</v>
      </c>
      <c r="K126" s="210" t="s">
        <v>11</v>
      </c>
      <c r="L126" s="210" t="s">
        <v>10</v>
      </c>
      <c r="M126" s="201" t="s">
        <v>44</v>
      </c>
      <c r="N126" s="185" t="str">
        <f>Resistors[[#This Row],[Footprint]]</f>
        <v>RES-1206</v>
      </c>
    </row>
    <row r="127" spans="1:14" x14ac:dyDescent="0.25">
      <c r="A127" s="183">
        <f t="shared" si="5"/>
        <v>126</v>
      </c>
      <c r="B127" s="206" t="s">
        <v>642</v>
      </c>
      <c r="C127" s="184" t="str">
        <f t="shared" si="4"/>
        <v>RES</v>
      </c>
      <c r="D12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24Ohm 0.5W 0,01 1206 AECQ</v>
      </c>
      <c r="E127" s="187" t="s">
        <v>643</v>
      </c>
      <c r="F127" s="194" t="s">
        <v>66</v>
      </c>
      <c r="G127" s="195">
        <v>0.01</v>
      </c>
      <c r="H127" s="201" t="s">
        <v>21</v>
      </c>
      <c r="I127" s="194" t="s">
        <v>645</v>
      </c>
      <c r="J127" s="207" t="s">
        <v>36</v>
      </c>
      <c r="K127" s="210" t="s">
        <v>11</v>
      </c>
      <c r="L127" s="210" t="s">
        <v>10</v>
      </c>
      <c r="M127" s="201" t="s">
        <v>44</v>
      </c>
      <c r="N127" s="185" t="str">
        <f>Resistors[[#This Row],[Footprint]]</f>
        <v>RES-1206</v>
      </c>
    </row>
    <row r="128" spans="1:14" x14ac:dyDescent="0.25">
      <c r="A128" s="183">
        <f t="shared" si="5"/>
        <v>127</v>
      </c>
      <c r="B128" s="206" t="s">
        <v>642</v>
      </c>
      <c r="C128" s="184" t="str">
        <f t="shared" si="4"/>
        <v>RES</v>
      </c>
      <c r="D12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24Ohm 0.33W 0,01 1206 AECQ</v>
      </c>
      <c r="E128" s="187" t="s">
        <v>643</v>
      </c>
      <c r="F128" s="196" t="s">
        <v>646</v>
      </c>
      <c r="G128" s="195">
        <v>0.01</v>
      </c>
      <c r="H128" s="201" t="s">
        <v>21</v>
      </c>
      <c r="I128" s="196" t="s">
        <v>647</v>
      </c>
      <c r="J128" s="207" t="s">
        <v>28</v>
      </c>
      <c r="K128" s="210" t="s">
        <v>11</v>
      </c>
      <c r="L128" s="210" t="s">
        <v>10</v>
      </c>
      <c r="M128" s="201" t="s">
        <v>44</v>
      </c>
      <c r="N128" s="185" t="str">
        <f>Resistors[[#This Row],[Footprint]]</f>
        <v>RES-1206</v>
      </c>
    </row>
    <row r="129" spans="1:14" x14ac:dyDescent="0.25">
      <c r="A129" s="183">
        <f t="shared" si="5"/>
        <v>128</v>
      </c>
      <c r="B129" s="206" t="s">
        <v>642</v>
      </c>
      <c r="C129" s="184" t="str">
        <f t="shared" si="4"/>
        <v>RES</v>
      </c>
      <c r="D12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24Ohm 0.5W 0,01 1206 AECQ</v>
      </c>
      <c r="E129" s="187" t="s">
        <v>643</v>
      </c>
      <c r="F129" s="194" t="s">
        <v>66</v>
      </c>
      <c r="G129" s="195">
        <v>0.01</v>
      </c>
      <c r="H129" s="201" t="s">
        <v>21</v>
      </c>
      <c r="I129" s="187" t="s">
        <v>648</v>
      </c>
      <c r="J129" s="207" t="s">
        <v>34</v>
      </c>
      <c r="K129" s="210" t="s">
        <v>11</v>
      </c>
      <c r="L129" s="210" t="s">
        <v>10</v>
      </c>
      <c r="M129" s="201" t="s">
        <v>44</v>
      </c>
      <c r="N129" s="185" t="str">
        <f>Resistors[[#This Row],[Footprint]]</f>
        <v>RES-1206</v>
      </c>
    </row>
    <row r="130" spans="1:14" x14ac:dyDescent="0.25">
      <c r="A130" s="183">
        <f t="shared" ref="A130:A165" si="6">ROW()-1</f>
        <v>129</v>
      </c>
      <c r="B130" s="206" t="s">
        <v>642</v>
      </c>
      <c r="C130" s="184" t="str">
        <f t="shared" ref="C130:C197" si="7">"RES"</f>
        <v>RES</v>
      </c>
      <c r="D13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24Ohm 0.75W 0,01 1206 AECQ</v>
      </c>
      <c r="E130" s="187" t="s">
        <v>643</v>
      </c>
      <c r="F130" s="196" t="s">
        <v>448</v>
      </c>
      <c r="G130" s="195">
        <v>0.01</v>
      </c>
      <c r="H130" s="201" t="s">
        <v>21</v>
      </c>
      <c r="I130" s="196" t="s">
        <v>649</v>
      </c>
      <c r="J130" s="207" t="s">
        <v>34</v>
      </c>
      <c r="K130" s="210" t="s">
        <v>11</v>
      </c>
      <c r="L130" s="210" t="s">
        <v>10</v>
      </c>
      <c r="M130" s="201" t="s">
        <v>44</v>
      </c>
      <c r="N130" s="185" t="str">
        <f>Resistors[[#This Row],[Footprint]]</f>
        <v>RES-1206</v>
      </c>
    </row>
    <row r="131" spans="1:14" x14ac:dyDescent="0.25">
      <c r="A131" s="183">
        <f t="shared" si="6"/>
        <v>130</v>
      </c>
      <c r="B131" s="206" t="s">
        <v>650</v>
      </c>
      <c r="C131" s="184" t="str">
        <f t="shared" si="7"/>
        <v>RES</v>
      </c>
      <c r="D13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9.53KOhm 0.125W 1% 0805 AECQ</v>
      </c>
      <c r="E131" s="187" t="s">
        <v>651</v>
      </c>
      <c r="F131" s="194" t="s">
        <v>466</v>
      </c>
      <c r="G131" s="188" t="s">
        <v>13</v>
      </c>
      <c r="H131" s="201" t="s">
        <v>12</v>
      </c>
      <c r="I131" s="194" t="s">
        <v>652</v>
      </c>
      <c r="J131" s="207" t="s">
        <v>9</v>
      </c>
      <c r="K131" s="210" t="s">
        <v>11</v>
      </c>
      <c r="L131" s="210" t="s">
        <v>10</v>
      </c>
      <c r="M131" s="201" t="s">
        <v>44</v>
      </c>
      <c r="N131" s="185" t="str">
        <f>Resistors[[#This Row],[Footprint]]</f>
        <v>RES-0805</v>
      </c>
    </row>
    <row r="132" spans="1:14" x14ac:dyDescent="0.25">
      <c r="A132" s="183">
        <f t="shared" si="6"/>
        <v>131</v>
      </c>
      <c r="B132" s="206" t="s">
        <v>653</v>
      </c>
      <c r="C132" s="184" t="str">
        <f t="shared" si="7"/>
        <v>RES</v>
      </c>
      <c r="D13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14.3KOhm 0.125W 1% 0805 AECQ</v>
      </c>
      <c r="E132" s="187" t="s">
        <v>654</v>
      </c>
      <c r="F132" s="194" t="s">
        <v>466</v>
      </c>
      <c r="G132" s="188" t="s">
        <v>13</v>
      </c>
      <c r="H132" s="201" t="s">
        <v>12</v>
      </c>
      <c r="I132" s="194" t="s">
        <v>655</v>
      </c>
      <c r="J132" s="207" t="s">
        <v>9</v>
      </c>
      <c r="K132" s="210" t="s">
        <v>11</v>
      </c>
      <c r="L132" s="210" t="s">
        <v>10</v>
      </c>
      <c r="M132" s="201" t="s">
        <v>44</v>
      </c>
      <c r="N132" s="185" t="str">
        <f>Resistors[[#This Row],[Footprint]]</f>
        <v>RES-0805</v>
      </c>
    </row>
    <row r="133" spans="1:14" x14ac:dyDescent="0.25">
      <c r="A133" s="183">
        <f t="shared" si="6"/>
        <v>132</v>
      </c>
      <c r="B133" s="206" t="s">
        <v>656</v>
      </c>
      <c r="C133" s="184" t="str">
        <f t="shared" si="7"/>
        <v>RES</v>
      </c>
      <c r="D13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300Ohm 0.75W 1% 1206 AECQ</v>
      </c>
      <c r="E133" s="187" t="s">
        <v>657</v>
      </c>
      <c r="F133" s="197" t="s">
        <v>448</v>
      </c>
      <c r="G133" s="188" t="s">
        <v>13</v>
      </c>
      <c r="H133" s="201" t="s">
        <v>21</v>
      </c>
      <c r="I133" s="204" t="s">
        <v>658</v>
      </c>
      <c r="J133" s="207" t="s">
        <v>34</v>
      </c>
      <c r="K133" s="210" t="s">
        <v>11</v>
      </c>
      <c r="L133" s="210" t="s">
        <v>10</v>
      </c>
      <c r="M133" s="201" t="s">
        <v>44</v>
      </c>
      <c r="N133" s="185" t="str">
        <f>Resistors[[#This Row],[Footprint]]</f>
        <v>RES-1206</v>
      </c>
    </row>
    <row r="134" spans="1:14" x14ac:dyDescent="0.25">
      <c r="A134" s="183">
        <f t="shared" si="6"/>
        <v>133</v>
      </c>
      <c r="B134" s="206" t="s">
        <v>659</v>
      </c>
      <c r="C134" s="184" t="str">
        <f t="shared" si="7"/>
        <v>RES</v>
      </c>
      <c r="D13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Jumper 5% 0603 AECQ</v>
      </c>
      <c r="E134" s="187" t="s">
        <v>514</v>
      </c>
      <c r="F134" s="193" t="s">
        <v>516</v>
      </c>
      <c r="G134" s="188" t="s">
        <v>410</v>
      </c>
      <c r="H134" s="201" t="s">
        <v>20</v>
      </c>
      <c r="I134" s="205" t="s">
        <v>660</v>
      </c>
      <c r="J134" s="207" t="s">
        <v>36</v>
      </c>
      <c r="K134" s="210" t="s">
        <v>11</v>
      </c>
      <c r="L134" s="210" t="s">
        <v>10</v>
      </c>
      <c r="M134" s="201" t="s">
        <v>44</v>
      </c>
      <c r="N134" s="185" t="str">
        <f>Resistors[[#This Row],[Footprint]]</f>
        <v>RES-0603</v>
      </c>
    </row>
    <row r="135" spans="1:14" x14ac:dyDescent="0.25">
      <c r="A135" s="183">
        <f t="shared" si="6"/>
        <v>134</v>
      </c>
      <c r="B135" s="206" t="s">
        <v>659</v>
      </c>
      <c r="C135" s="184" t="str">
        <f t="shared" si="7"/>
        <v>RES</v>
      </c>
      <c r="D13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Jumper 1% 0603 AECQ</v>
      </c>
      <c r="E135" s="187" t="s">
        <v>514</v>
      </c>
      <c r="F135" s="193" t="s">
        <v>516</v>
      </c>
      <c r="G135" s="188" t="s">
        <v>13</v>
      </c>
      <c r="H135" s="201" t="s">
        <v>20</v>
      </c>
      <c r="I135" s="194" t="s">
        <v>661</v>
      </c>
      <c r="J135" s="207" t="s">
        <v>36</v>
      </c>
      <c r="K135" s="210" t="s">
        <v>11</v>
      </c>
      <c r="L135" s="210" t="s">
        <v>10</v>
      </c>
      <c r="M135" s="201" t="s">
        <v>44</v>
      </c>
      <c r="N135" s="185" t="str">
        <f>Resistors[[#This Row],[Footprint]]</f>
        <v>RES-0603</v>
      </c>
    </row>
    <row r="136" spans="1:14" x14ac:dyDescent="0.25">
      <c r="A136" s="183">
        <f t="shared" si="6"/>
        <v>135</v>
      </c>
      <c r="B136" s="206" t="s">
        <v>662</v>
      </c>
      <c r="C136" s="184" t="str">
        <f t="shared" si="7"/>
        <v>RES</v>
      </c>
      <c r="D13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12KOhm 0.5W 1% 0805 AECQ</v>
      </c>
      <c r="E136" s="187" t="s">
        <v>663</v>
      </c>
      <c r="F136" s="194" t="s">
        <v>66</v>
      </c>
      <c r="G136" s="188" t="s">
        <v>13</v>
      </c>
      <c r="H136" s="201" t="s">
        <v>12</v>
      </c>
      <c r="I136" s="194" t="s">
        <v>664</v>
      </c>
      <c r="J136" s="207" t="s">
        <v>34</v>
      </c>
      <c r="K136" s="210" t="s">
        <v>11</v>
      </c>
      <c r="L136" s="210" t="s">
        <v>10</v>
      </c>
      <c r="M136" s="201" t="s">
        <v>44</v>
      </c>
      <c r="N136" s="185" t="str">
        <f>Resistors[[#This Row],[Footprint]]</f>
        <v>RES-0805</v>
      </c>
    </row>
    <row r="137" spans="1:14" x14ac:dyDescent="0.25">
      <c r="A137" s="183"/>
      <c r="B137" s="206" t="s">
        <v>665</v>
      </c>
      <c r="C137" s="184" t="str">
        <f>"RES"</f>
        <v>RES</v>
      </c>
      <c r="D13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47KOhm 0.1W 1% 0603 AECQ</v>
      </c>
      <c r="E137" s="187" t="s">
        <v>614</v>
      </c>
      <c r="F137" s="194" t="s">
        <v>459</v>
      </c>
      <c r="G137" s="188" t="s">
        <v>13</v>
      </c>
      <c r="H137" s="201" t="s">
        <v>20</v>
      </c>
      <c r="I137" s="194" t="s">
        <v>1628</v>
      </c>
      <c r="J137" s="207" t="s">
        <v>30</v>
      </c>
      <c r="K137" s="210" t="s">
        <v>11</v>
      </c>
      <c r="L137" s="210" t="s">
        <v>10</v>
      </c>
      <c r="M137" s="201" t="s">
        <v>44</v>
      </c>
      <c r="N137" s="185" t="str">
        <f>Resistors[[#This Row],[Footprint]]</f>
        <v>RES-0603</v>
      </c>
    </row>
    <row r="138" spans="1:14" x14ac:dyDescent="0.25">
      <c r="A138" s="183"/>
      <c r="B138" s="206" t="s">
        <v>665</v>
      </c>
      <c r="C138" s="184" t="str">
        <f>"RES"</f>
        <v>RES</v>
      </c>
      <c r="D13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47KOhm 0.125W 1% 0603 AECQ</v>
      </c>
      <c r="E138" s="187" t="s">
        <v>614</v>
      </c>
      <c r="F138" s="186" t="s">
        <v>466</v>
      </c>
      <c r="G138" s="188" t="s">
        <v>13</v>
      </c>
      <c r="H138" s="201" t="s">
        <v>20</v>
      </c>
      <c r="I138" s="194" t="s">
        <v>1625</v>
      </c>
      <c r="J138" s="207" t="s">
        <v>34</v>
      </c>
      <c r="K138" s="210" t="s">
        <v>11</v>
      </c>
      <c r="L138" s="210" t="s">
        <v>10</v>
      </c>
      <c r="M138" s="201" t="s">
        <v>44</v>
      </c>
      <c r="N138" s="185" t="str">
        <f>Resistors[[#This Row],[Footprint]]</f>
        <v>RES-0603</v>
      </c>
    </row>
    <row r="139" spans="1:14" x14ac:dyDescent="0.25">
      <c r="A139" s="183"/>
      <c r="B139" s="206" t="s">
        <v>665</v>
      </c>
      <c r="C139" s="184" t="str">
        <f>"RES"</f>
        <v>RES</v>
      </c>
      <c r="D13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47KOhm 0.1W 1% 0603 AECQ</v>
      </c>
      <c r="E139" s="187" t="s">
        <v>614</v>
      </c>
      <c r="F139" s="194" t="s">
        <v>459</v>
      </c>
      <c r="G139" s="188" t="s">
        <v>13</v>
      </c>
      <c r="H139" s="201" t="s">
        <v>20</v>
      </c>
      <c r="I139" s="194" t="s">
        <v>1626</v>
      </c>
      <c r="J139" s="207" t="s">
        <v>36</v>
      </c>
      <c r="K139" s="210" t="s">
        <v>11</v>
      </c>
      <c r="L139" s="210" t="s">
        <v>10</v>
      </c>
      <c r="M139" s="201" t="s">
        <v>44</v>
      </c>
      <c r="N139" s="185" t="str">
        <f>Resistors[[#This Row],[Footprint]]</f>
        <v>RES-0603</v>
      </c>
    </row>
    <row r="140" spans="1:14" x14ac:dyDescent="0.25">
      <c r="A140" s="183"/>
      <c r="B140" s="206" t="s">
        <v>665</v>
      </c>
      <c r="C140" s="184" t="str">
        <f>"RES"</f>
        <v>RES</v>
      </c>
      <c r="D14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47KOhm 0.1W 1% 0603 AECQ</v>
      </c>
      <c r="E140" s="187" t="s">
        <v>614</v>
      </c>
      <c r="F140" s="194" t="s">
        <v>459</v>
      </c>
      <c r="G140" s="188" t="s">
        <v>13</v>
      </c>
      <c r="H140" s="201" t="s">
        <v>20</v>
      </c>
      <c r="I140" s="194" t="s">
        <v>1627</v>
      </c>
      <c r="J140" s="207" t="s">
        <v>36</v>
      </c>
      <c r="K140" s="210" t="s">
        <v>11</v>
      </c>
      <c r="L140" s="210" t="s">
        <v>10</v>
      </c>
      <c r="M140" s="201" t="s">
        <v>44</v>
      </c>
      <c r="N140" s="185" t="str">
        <f>Resistors[[#This Row],[Footprint]]</f>
        <v>RES-0603</v>
      </c>
    </row>
    <row r="141" spans="1:14" x14ac:dyDescent="0.25">
      <c r="A141" s="183">
        <f t="shared" si="6"/>
        <v>140</v>
      </c>
      <c r="B141" s="206" t="s">
        <v>665</v>
      </c>
      <c r="C141" s="184" t="str">
        <f t="shared" si="7"/>
        <v>RES</v>
      </c>
      <c r="D14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47KOhm 0.1W 1% 0603 AECQ</v>
      </c>
      <c r="E141" s="187" t="s">
        <v>614</v>
      </c>
      <c r="F141" s="194" t="s">
        <v>459</v>
      </c>
      <c r="G141" s="188" t="s">
        <v>13</v>
      </c>
      <c r="H141" s="201" t="s">
        <v>20</v>
      </c>
      <c r="I141" s="194" t="s">
        <v>666</v>
      </c>
      <c r="J141" s="207" t="s">
        <v>9</v>
      </c>
      <c r="K141" s="210" t="s">
        <v>11</v>
      </c>
      <c r="L141" s="210" t="s">
        <v>10</v>
      </c>
      <c r="M141" s="201" t="s">
        <v>44</v>
      </c>
      <c r="N141" s="185" t="str">
        <f>Resistors[[#This Row],[Footprint]]</f>
        <v>RES-0603</v>
      </c>
    </row>
    <row r="142" spans="1:14" x14ac:dyDescent="0.25">
      <c r="A142" s="183">
        <f t="shared" si="6"/>
        <v>141</v>
      </c>
      <c r="B142" s="206" t="s">
        <v>667</v>
      </c>
      <c r="C142" s="184" t="str">
        <f t="shared" si="7"/>
        <v>RES</v>
      </c>
      <c r="D14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33KOhm 0.1W 1% 0603 AECQ</v>
      </c>
      <c r="E142" s="187" t="s">
        <v>668</v>
      </c>
      <c r="F142" s="194" t="s">
        <v>459</v>
      </c>
      <c r="G142" s="188" t="s">
        <v>13</v>
      </c>
      <c r="H142" s="201" t="s">
        <v>20</v>
      </c>
      <c r="I142" s="194" t="s">
        <v>669</v>
      </c>
      <c r="J142" s="207" t="s">
        <v>9</v>
      </c>
      <c r="K142" s="210" t="s">
        <v>11</v>
      </c>
      <c r="L142" s="210" t="s">
        <v>10</v>
      </c>
      <c r="M142" s="201" t="s">
        <v>44</v>
      </c>
      <c r="N142" s="185" t="str">
        <f>Resistors[[#This Row],[Footprint]]</f>
        <v>RES-0603</v>
      </c>
    </row>
    <row r="143" spans="1:14" x14ac:dyDescent="0.25">
      <c r="A143" s="183">
        <f t="shared" si="6"/>
        <v>142</v>
      </c>
      <c r="B143" s="206" t="s">
        <v>670</v>
      </c>
      <c r="C143" s="184" t="str">
        <f t="shared" si="7"/>
        <v>RES</v>
      </c>
      <c r="D14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9.09KOhm 0.1W 1% 0603 AECQ</v>
      </c>
      <c r="E143" s="187" t="s">
        <v>671</v>
      </c>
      <c r="F143" s="194" t="s">
        <v>459</v>
      </c>
      <c r="G143" s="188" t="s">
        <v>13</v>
      </c>
      <c r="H143" s="201" t="s">
        <v>20</v>
      </c>
      <c r="I143" s="194" t="s">
        <v>672</v>
      </c>
      <c r="J143" s="207" t="s">
        <v>9</v>
      </c>
      <c r="K143" s="210" t="s">
        <v>11</v>
      </c>
      <c r="L143" s="210" t="s">
        <v>10</v>
      </c>
      <c r="M143" s="201" t="s">
        <v>44</v>
      </c>
      <c r="N143" s="185" t="str">
        <f>Resistors[[#This Row],[Footprint]]</f>
        <v>RES-0603</v>
      </c>
    </row>
    <row r="144" spans="1:14" x14ac:dyDescent="0.25">
      <c r="A144" s="183">
        <f t="shared" si="6"/>
        <v>143</v>
      </c>
      <c r="B144" s="206" t="s">
        <v>670</v>
      </c>
      <c r="C144" s="184" t="str">
        <f t="shared" si="7"/>
        <v>RES</v>
      </c>
      <c r="D14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9.09KOhm 0.1W 1% 0603 AECQ</v>
      </c>
      <c r="E144" s="187" t="s">
        <v>671</v>
      </c>
      <c r="F144" s="194" t="s">
        <v>459</v>
      </c>
      <c r="G144" s="188" t="s">
        <v>13</v>
      </c>
      <c r="H144" s="201" t="s">
        <v>20</v>
      </c>
      <c r="I144" s="194" t="s">
        <v>673</v>
      </c>
      <c r="J144" s="207" t="s">
        <v>30</v>
      </c>
      <c r="K144" s="210" t="s">
        <v>11</v>
      </c>
      <c r="L144" s="210" t="s">
        <v>10</v>
      </c>
      <c r="M144" s="201" t="s">
        <v>44</v>
      </c>
      <c r="N144" s="185" t="str">
        <f>Resistors[[#This Row],[Footprint]]</f>
        <v>RES-0603</v>
      </c>
    </row>
    <row r="145" spans="1:14" x14ac:dyDescent="0.25">
      <c r="A145" s="183">
        <f t="shared" si="6"/>
        <v>144</v>
      </c>
      <c r="B145" s="206" t="s">
        <v>670</v>
      </c>
      <c r="C145" s="184" t="str">
        <f t="shared" si="7"/>
        <v>RES</v>
      </c>
      <c r="D14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9.09KOhm 0.1W 1% 0603 AECQ</v>
      </c>
      <c r="E145" s="187" t="s">
        <v>671</v>
      </c>
      <c r="F145" s="194" t="s">
        <v>459</v>
      </c>
      <c r="G145" s="188" t="s">
        <v>13</v>
      </c>
      <c r="H145" s="201" t="s">
        <v>20</v>
      </c>
      <c r="I145" s="194" t="s">
        <v>674</v>
      </c>
      <c r="J145" s="207" t="s">
        <v>28</v>
      </c>
      <c r="K145" s="210" t="s">
        <v>11</v>
      </c>
      <c r="L145" s="210" t="s">
        <v>10</v>
      </c>
      <c r="M145" s="201" t="s">
        <v>44</v>
      </c>
      <c r="N145" s="185" t="str">
        <f>Resistors[[#This Row],[Footprint]]</f>
        <v>RES-0603</v>
      </c>
    </row>
    <row r="146" spans="1:14" x14ac:dyDescent="0.25">
      <c r="A146" s="183">
        <f t="shared" si="6"/>
        <v>145</v>
      </c>
      <c r="B146" s="206" t="s">
        <v>675</v>
      </c>
      <c r="C146" s="184" t="str">
        <f t="shared" si="7"/>
        <v>RES</v>
      </c>
      <c r="D14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82KOhm 0.1W 1% 0603 AECQ</v>
      </c>
      <c r="E146" s="187" t="s">
        <v>676</v>
      </c>
      <c r="F146" s="194" t="s">
        <v>459</v>
      </c>
      <c r="G146" s="188" t="s">
        <v>13</v>
      </c>
      <c r="H146" s="201" t="s">
        <v>20</v>
      </c>
      <c r="I146" s="194" t="s">
        <v>677</v>
      </c>
      <c r="J146" s="207" t="s">
        <v>28</v>
      </c>
      <c r="K146" s="210" t="s">
        <v>11</v>
      </c>
      <c r="L146" s="210" t="s">
        <v>10</v>
      </c>
      <c r="M146" s="201" t="s">
        <v>44</v>
      </c>
      <c r="N146" s="185" t="str">
        <f>Resistors[[#This Row],[Footprint]]</f>
        <v>RES-0603</v>
      </c>
    </row>
    <row r="147" spans="1:14" x14ac:dyDescent="0.25">
      <c r="A147" s="183">
        <f t="shared" si="6"/>
        <v>146</v>
      </c>
      <c r="B147" s="206" t="s">
        <v>678</v>
      </c>
      <c r="C147" s="184" t="str">
        <f t="shared" si="7"/>
        <v>RES</v>
      </c>
      <c r="D14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3.3KOhm 0.75W 1% 1206 AECQ</v>
      </c>
      <c r="E147" s="187" t="s">
        <v>679</v>
      </c>
      <c r="F147" s="194" t="s">
        <v>448</v>
      </c>
      <c r="G147" s="188" t="s">
        <v>13</v>
      </c>
      <c r="H147" s="201" t="s">
        <v>21</v>
      </c>
      <c r="I147" s="194" t="s">
        <v>680</v>
      </c>
      <c r="J147" s="207" t="s">
        <v>34</v>
      </c>
      <c r="K147" s="210" t="s">
        <v>11</v>
      </c>
      <c r="L147" s="210" t="s">
        <v>10</v>
      </c>
      <c r="M147" s="201" t="s">
        <v>44</v>
      </c>
      <c r="N147" s="185" t="str">
        <f>Resistors[[#This Row],[Footprint]]</f>
        <v>RES-1206</v>
      </c>
    </row>
    <row r="148" spans="1:14" x14ac:dyDescent="0.25">
      <c r="A148" s="183">
        <f t="shared" si="6"/>
        <v>147</v>
      </c>
      <c r="B148" s="206" t="s">
        <v>681</v>
      </c>
      <c r="C148" s="184" t="str">
        <f t="shared" si="7"/>
        <v>RES</v>
      </c>
      <c r="D14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1KOhm 0.5W 1% 0805 AECQ</v>
      </c>
      <c r="E148" s="187" t="s">
        <v>510</v>
      </c>
      <c r="F148" s="194" t="s">
        <v>66</v>
      </c>
      <c r="G148" s="188" t="s">
        <v>13</v>
      </c>
      <c r="H148" s="201" t="s">
        <v>12</v>
      </c>
      <c r="I148" s="194" t="s">
        <v>682</v>
      </c>
      <c r="J148" s="207" t="s">
        <v>34</v>
      </c>
      <c r="K148" s="210" t="s">
        <v>11</v>
      </c>
      <c r="L148" s="210" t="s">
        <v>10</v>
      </c>
      <c r="M148" s="201" t="s">
        <v>44</v>
      </c>
      <c r="N148" s="185" t="str">
        <f>Resistors[[#This Row],[Footprint]]</f>
        <v>RES-0805</v>
      </c>
    </row>
    <row r="149" spans="1:14" x14ac:dyDescent="0.25">
      <c r="A149" s="183">
        <f t="shared" si="6"/>
        <v>148</v>
      </c>
      <c r="B149" s="206" t="s">
        <v>683</v>
      </c>
      <c r="C149" s="184" t="str">
        <f t="shared" si="7"/>
        <v>RES</v>
      </c>
      <c r="D14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3.3KOhm 0.5W 1% 0805 AECQ</v>
      </c>
      <c r="E149" s="187" t="s">
        <v>679</v>
      </c>
      <c r="F149" s="194" t="s">
        <v>66</v>
      </c>
      <c r="G149" s="188" t="s">
        <v>13</v>
      </c>
      <c r="H149" s="201" t="s">
        <v>12</v>
      </c>
      <c r="I149" s="194" t="s">
        <v>684</v>
      </c>
      <c r="J149" s="207" t="s">
        <v>34</v>
      </c>
      <c r="K149" s="210" t="s">
        <v>11</v>
      </c>
      <c r="L149" s="210" t="s">
        <v>10</v>
      </c>
      <c r="M149" s="201" t="s">
        <v>44</v>
      </c>
      <c r="N149" s="185" t="str">
        <f>Resistors[[#This Row],[Footprint]]</f>
        <v>RES-0805</v>
      </c>
    </row>
    <row r="150" spans="1:14" x14ac:dyDescent="0.25">
      <c r="A150" s="183">
        <f t="shared" si="6"/>
        <v>149</v>
      </c>
      <c r="B150" s="206" t="s">
        <v>685</v>
      </c>
      <c r="C150" s="184" t="str">
        <f t="shared" si="7"/>
        <v>RES</v>
      </c>
      <c r="D15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33KOhm 0.5W 1% 0805 AECQ</v>
      </c>
      <c r="E150" s="187" t="s">
        <v>668</v>
      </c>
      <c r="F150" s="194" t="s">
        <v>66</v>
      </c>
      <c r="G150" s="188" t="s">
        <v>13</v>
      </c>
      <c r="H150" s="201" t="s">
        <v>12</v>
      </c>
      <c r="I150" s="194" t="s">
        <v>686</v>
      </c>
      <c r="J150" s="207" t="s">
        <v>34</v>
      </c>
      <c r="K150" s="210" t="s">
        <v>11</v>
      </c>
      <c r="L150" s="210" t="s">
        <v>10</v>
      </c>
      <c r="M150" s="201" t="s">
        <v>44</v>
      </c>
      <c r="N150" s="185" t="str">
        <f>Resistors[[#This Row],[Footprint]]</f>
        <v>RES-0805</v>
      </c>
    </row>
    <row r="151" spans="1:14" x14ac:dyDescent="0.25">
      <c r="A151" s="183">
        <f t="shared" si="6"/>
        <v>150</v>
      </c>
      <c r="B151" s="206" t="s">
        <v>687</v>
      </c>
      <c r="C151" s="184" t="str">
        <f t="shared" si="7"/>
        <v>RES</v>
      </c>
      <c r="D15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151" s="187"/>
      <c r="G151" s="188" t="s">
        <v>496</v>
      </c>
      <c r="H151" s="201"/>
      <c r="I151" s="206" t="s">
        <v>513</v>
      </c>
      <c r="J151" s="207"/>
      <c r="K151" s="210"/>
      <c r="L151" s="210" t="s">
        <v>10</v>
      </c>
      <c r="M151" s="201" t="s">
        <v>44</v>
      </c>
      <c r="N151" s="185">
        <f>Resistors[[#This Row],[Footprint]]</f>
        <v>0</v>
      </c>
    </row>
    <row r="152" spans="1:14" x14ac:dyDescent="0.25">
      <c r="A152" s="183">
        <f t="shared" si="6"/>
        <v>151</v>
      </c>
      <c r="B152" s="206" t="s">
        <v>688</v>
      </c>
      <c r="C152" s="184" t="str">
        <f t="shared" si="7"/>
        <v>RES</v>
      </c>
      <c r="D15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4.7KOhm 0.5W 1% 0805 AECQ</v>
      </c>
      <c r="E152" s="187" t="s">
        <v>689</v>
      </c>
      <c r="F152" s="194" t="s">
        <v>66</v>
      </c>
      <c r="G152" s="188" t="s">
        <v>13</v>
      </c>
      <c r="H152" s="201" t="s">
        <v>12</v>
      </c>
      <c r="I152" s="194" t="s">
        <v>690</v>
      </c>
      <c r="J152" s="207" t="s">
        <v>34</v>
      </c>
      <c r="K152" s="210" t="s">
        <v>11</v>
      </c>
      <c r="L152" s="210" t="s">
        <v>10</v>
      </c>
      <c r="M152" s="201" t="s">
        <v>44</v>
      </c>
      <c r="N152" s="185" t="str">
        <f>Resistors[[#This Row],[Footprint]]</f>
        <v>RES-0805</v>
      </c>
    </row>
    <row r="153" spans="1:14" x14ac:dyDescent="0.25">
      <c r="A153" s="183">
        <f t="shared" si="6"/>
        <v>152</v>
      </c>
      <c r="B153" s="206" t="s">
        <v>691</v>
      </c>
      <c r="C153" s="184" t="str">
        <f t="shared" si="7"/>
        <v>RES</v>
      </c>
      <c r="D15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68KOhm 0.5W 1% 0805 AECQ</v>
      </c>
      <c r="E153" s="187" t="s">
        <v>692</v>
      </c>
      <c r="F153" s="194" t="s">
        <v>66</v>
      </c>
      <c r="G153" s="188" t="s">
        <v>13</v>
      </c>
      <c r="H153" s="201" t="s">
        <v>12</v>
      </c>
      <c r="I153" s="194" t="s">
        <v>693</v>
      </c>
      <c r="J153" s="207" t="s">
        <v>34</v>
      </c>
      <c r="K153" s="210" t="s">
        <v>11</v>
      </c>
      <c r="L153" s="210" t="s">
        <v>10</v>
      </c>
      <c r="M153" s="201" t="s">
        <v>44</v>
      </c>
      <c r="N153" s="185" t="str">
        <f>Resistors[[#This Row],[Footprint]]</f>
        <v>RES-0805</v>
      </c>
    </row>
    <row r="154" spans="1:14" x14ac:dyDescent="0.25">
      <c r="A154" s="183">
        <f t="shared" si="6"/>
        <v>153</v>
      </c>
      <c r="B154" s="206" t="s">
        <v>694</v>
      </c>
      <c r="C154" s="184" t="str">
        <f t="shared" si="7"/>
        <v>RES</v>
      </c>
      <c r="D15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33KOhm 0.1W 1% 0603 AECQ</v>
      </c>
      <c r="E154" s="187" t="s">
        <v>668</v>
      </c>
      <c r="F154" s="194" t="s">
        <v>459</v>
      </c>
      <c r="G154" s="188" t="s">
        <v>13</v>
      </c>
      <c r="H154" s="201" t="s">
        <v>20</v>
      </c>
      <c r="I154" s="194" t="s">
        <v>695</v>
      </c>
      <c r="J154" s="207" t="s">
        <v>36</v>
      </c>
      <c r="K154" s="210" t="s">
        <v>11</v>
      </c>
      <c r="L154" s="210" t="s">
        <v>10</v>
      </c>
      <c r="M154" s="201" t="s">
        <v>44</v>
      </c>
      <c r="N154" s="185" t="str">
        <f>Resistors[[#This Row],[Footprint]]</f>
        <v>RES-0603</v>
      </c>
    </row>
    <row r="155" spans="1:14" x14ac:dyDescent="0.25">
      <c r="A155" s="183">
        <f t="shared" si="6"/>
        <v>154</v>
      </c>
      <c r="B155" s="206" t="s">
        <v>696</v>
      </c>
      <c r="C155" s="184" t="str">
        <f t="shared" si="7"/>
        <v>RES</v>
      </c>
      <c r="D15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330Ohm 0.1W 1% 0603 AECQ</v>
      </c>
      <c r="E155" s="187" t="s">
        <v>697</v>
      </c>
      <c r="F155" s="194" t="s">
        <v>459</v>
      </c>
      <c r="G155" s="188" t="s">
        <v>13</v>
      </c>
      <c r="H155" s="201" t="s">
        <v>20</v>
      </c>
      <c r="I155" s="194" t="s">
        <v>698</v>
      </c>
      <c r="J155" s="207" t="s">
        <v>36</v>
      </c>
      <c r="K155" s="210" t="s">
        <v>11</v>
      </c>
      <c r="L155" s="210" t="s">
        <v>10</v>
      </c>
      <c r="M155" s="201" t="s">
        <v>44</v>
      </c>
      <c r="N155" s="185" t="str">
        <f>Resistors[[#This Row],[Footprint]]</f>
        <v>RES-0603</v>
      </c>
    </row>
    <row r="156" spans="1:14" x14ac:dyDescent="0.25">
      <c r="A156" s="183">
        <f t="shared" si="6"/>
        <v>155</v>
      </c>
      <c r="B156" s="206" t="s">
        <v>699</v>
      </c>
      <c r="C156" s="184" t="str">
        <f t="shared" si="7"/>
        <v>RES</v>
      </c>
      <c r="D15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470Ohm 0.1W 1% 0603 AECQ</v>
      </c>
      <c r="E156" s="187" t="s">
        <v>700</v>
      </c>
      <c r="F156" s="194" t="s">
        <v>459</v>
      </c>
      <c r="G156" s="188" t="s">
        <v>13</v>
      </c>
      <c r="H156" s="201" t="s">
        <v>20</v>
      </c>
      <c r="I156" s="194" t="s">
        <v>701</v>
      </c>
      <c r="J156" s="207" t="s">
        <v>36</v>
      </c>
      <c r="K156" s="210" t="s">
        <v>11</v>
      </c>
      <c r="L156" s="210" t="s">
        <v>10</v>
      </c>
      <c r="M156" s="201" t="s">
        <v>44</v>
      </c>
      <c r="N156" s="185" t="str">
        <f>Resistors[[#This Row],[Footprint]]</f>
        <v>RES-0603</v>
      </c>
    </row>
    <row r="157" spans="1:14" x14ac:dyDescent="0.25">
      <c r="A157" s="183">
        <f t="shared" si="6"/>
        <v>156</v>
      </c>
      <c r="B157" s="206" t="s">
        <v>702</v>
      </c>
      <c r="C157" s="184" t="str">
        <f t="shared" si="7"/>
        <v>RES</v>
      </c>
      <c r="D15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0.75W Jumper 1206 AECQ</v>
      </c>
      <c r="E157" s="187" t="s">
        <v>514</v>
      </c>
      <c r="F157" s="194" t="s">
        <v>448</v>
      </c>
      <c r="G157" s="193" t="s">
        <v>516</v>
      </c>
      <c r="H157" s="201" t="s">
        <v>21</v>
      </c>
      <c r="I157" s="194" t="s">
        <v>703</v>
      </c>
      <c r="J157" s="207" t="s">
        <v>34</v>
      </c>
      <c r="K157" s="210" t="s">
        <v>11</v>
      </c>
      <c r="L157" s="210" t="s">
        <v>10</v>
      </c>
      <c r="M157" s="201" t="s">
        <v>44</v>
      </c>
      <c r="N157" s="185" t="str">
        <f>Resistors[[#This Row],[Footprint]]</f>
        <v>RES-1206</v>
      </c>
    </row>
    <row r="158" spans="1:14" x14ac:dyDescent="0.25">
      <c r="A158" s="183">
        <f t="shared" si="6"/>
        <v>157</v>
      </c>
      <c r="B158" s="206" t="s">
        <v>704</v>
      </c>
      <c r="C158" s="184" t="str">
        <f t="shared" si="7"/>
        <v>RES</v>
      </c>
      <c r="D15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27.7KOhm 0.1W 0.5% 0603 AECQ</v>
      </c>
      <c r="E158" s="187" t="s">
        <v>705</v>
      </c>
      <c r="F158" s="194" t="s">
        <v>459</v>
      </c>
      <c r="G158" s="188" t="s">
        <v>706</v>
      </c>
      <c r="H158" s="201" t="s">
        <v>20</v>
      </c>
      <c r="I158" s="194" t="s">
        <v>707</v>
      </c>
      <c r="J158" s="207" t="s">
        <v>28</v>
      </c>
      <c r="K158" s="210" t="s">
        <v>11</v>
      </c>
      <c r="L158" s="210" t="s">
        <v>10</v>
      </c>
      <c r="M158" s="201" t="s">
        <v>44</v>
      </c>
      <c r="N158" s="185" t="str">
        <f>Resistors[[#This Row],[Footprint]]</f>
        <v>RES-0603</v>
      </c>
    </row>
    <row r="159" spans="1:14" x14ac:dyDescent="0.25">
      <c r="A159" s="183">
        <f t="shared" si="6"/>
        <v>158</v>
      </c>
      <c r="B159" s="206" t="s">
        <v>708</v>
      </c>
      <c r="C159" s="184" t="str">
        <f t="shared" si="7"/>
        <v>RES</v>
      </c>
      <c r="D15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34.4KOhm 0.1W 0.5% 0603 AECQ</v>
      </c>
      <c r="E159" s="187" t="s">
        <v>709</v>
      </c>
      <c r="F159" s="194" t="s">
        <v>459</v>
      </c>
      <c r="G159" s="188" t="s">
        <v>706</v>
      </c>
      <c r="H159" s="201" t="s">
        <v>20</v>
      </c>
      <c r="I159" s="194" t="s">
        <v>710</v>
      </c>
      <c r="J159" s="207" t="s">
        <v>28</v>
      </c>
      <c r="K159" s="210" t="s">
        <v>11</v>
      </c>
      <c r="L159" s="210" t="s">
        <v>10</v>
      </c>
      <c r="M159" s="201" t="s">
        <v>44</v>
      </c>
      <c r="N159" s="185" t="str">
        <f>Resistors[[#This Row],[Footprint]]</f>
        <v>RES-0603</v>
      </c>
    </row>
    <row r="160" spans="1:14" x14ac:dyDescent="0.25">
      <c r="A160" s="183">
        <f t="shared" si="6"/>
        <v>159</v>
      </c>
      <c r="B160" s="206" t="s">
        <v>711</v>
      </c>
      <c r="C160" s="184" t="str">
        <f t="shared" si="7"/>
        <v>RES</v>
      </c>
      <c r="D16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37.9KOhm 0.1W 0.5% 0603 AECQ</v>
      </c>
      <c r="E160" s="187" t="s">
        <v>712</v>
      </c>
      <c r="F160" s="194" t="s">
        <v>459</v>
      </c>
      <c r="G160" s="188" t="s">
        <v>706</v>
      </c>
      <c r="H160" s="201" t="s">
        <v>20</v>
      </c>
      <c r="I160" s="194" t="s">
        <v>713</v>
      </c>
      <c r="J160" s="207" t="s">
        <v>28</v>
      </c>
      <c r="K160" s="210" t="s">
        <v>11</v>
      </c>
      <c r="L160" s="210" t="s">
        <v>10</v>
      </c>
      <c r="M160" s="201" t="s">
        <v>44</v>
      </c>
      <c r="N160" s="185" t="str">
        <f>Resistors[[#This Row],[Footprint]]</f>
        <v>RES-0603</v>
      </c>
    </row>
    <row r="161" spans="1:15" x14ac:dyDescent="0.25">
      <c r="A161" s="183">
        <f t="shared" si="6"/>
        <v>160</v>
      </c>
      <c r="B161" s="206" t="s">
        <v>714</v>
      </c>
      <c r="C161" s="184" t="str">
        <f t="shared" si="7"/>
        <v>RES</v>
      </c>
      <c r="D16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7.68KOhm 0.1W 1% 0603 AECQ</v>
      </c>
      <c r="E161" s="187" t="s">
        <v>715</v>
      </c>
      <c r="F161" s="194" t="s">
        <v>459</v>
      </c>
      <c r="G161" s="188" t="s">
        <v>13</v>
      </c>
      <c r="H161" s="201" t="s">
        <v>20</v>
      </c>
      <c r="I161" s="194" t="s">
        <v>716</v>
      </c>
      <c r="J161" s="207" t="s">
        <v>36</v>
      </c>
      <c r="K161" s="210" t="s">
        <v>11</v>
      </c>
      <c r="L161" s="210" t="s">
        <v>10</v>
      </c>
      <c r="M161" s="201" t="s">
        <v>44</v>
      </c>
      <c r="N161" s="185" t="str">
        <f>Resistors[[#This Row],[Footprint]]</f>
        <v>RES-0603</v>
      </c>
    </row>
    <row r="162" spans="1:15" x14ac:dyDescent="0.25">
      <c r="A162" s="183">
        <f t="shared" si="6"/>
        <v>161</v>
      </c>
      <c r="B162" s="206" t="s">
        <v>717</v>
      </c>
      <c r="C162" s="184" t="str">
        <f t="shared" si="7"/>
        <v>RES</v>
      </c>
      <c r="D16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6.49KOhm 0.1W 1% 0603 AECQ</v>
      </c>
      <c r="E162" s="187" t="s">
        <v>718</v>
      </c>
      <c r="F162" s="194" t="s">
        <v>459</v>
      </c>
      <c r="G162" s="188" t="s">
        <v>13</v>
      </c>
      <c r="H162" s="201" t="s">
        <v>20</v>
      </c>
      <c r="I162" s="194" t="s">
        <v>719</v>
      </c>
      <c r="J162" s="207" t="s">
        <v>9</v>
      </c>
      <c r="K162" s="210" t="s">
        <v>11</v>
      </c>
      <c r="L162" s="210" t="s">
        <v>10</v>
      </c>
      <c r="M162" s="201" t="s">
        <v>44</v>
      </c>
      <c r="N162" s="185" t="str">
        <f>Resistors[[#This Row],[Footprint]]</f>
        <v>RES-0603</v>
      </c>
    </row>
    <row r="163" spans="1:15" x14ac:dyDescent="0.25">
      <c r="A163" s="183">
        <f t="shared" si="6"/>
        <v>162</v>
      </c>
      <c r="B163" s="206" t="s">
        <v>1048</v>
      </c>
      <c r="C163" s="184" t="str">
        <f t="shared" si="7"/>
        <v>RES</v>
      </c>
      <c r="D16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2.2Ohm 0.25W 5% 0805 AECQ</v>
      </c>
      <c r="E163" s="198" t="s">
        <v>1049</v>
      </c>
      <c r="F163" s="187" t="s">
        <v>352</v>
      </c>
      <c r="G163" s="188" t="s">
        <v>410</v>
      </c>
      <c r="H163" s="201" t="s">
        <v>12</v>
      </c>
      <c r="I163" s="201" t="s">
        <v>1050</v>
      </c>
      <c r="J163" s="209" t="s">
        <v>28</v>
      </c>
      <c r="K163" s="210" t="s">
        <v>11</v>
      </c>
      <c r="L163" s="210" t="s">
        <v>10</v>
      </c>
      <c r="M163" s="187" t="s">
        <v>44</v>
      </c>
      <c r="N163" s="185" t="str">
        <f>Resistors[[#This Row],[Footprint]]</f>
        <v>RES-0805</v>
      </c>
    </row>
    <row r="164" spans="1:15" x14ac:dyDescent="0.25">
      <c r="A164" s="183">
        <f t="shared" si="6"/>
        <v>163</v>
      </c>
      <c r="B164" s="206" t="s">
        <v>1470</v>
      </c>
      <c r="C164" s="184" t="str">
        <f t="shared" si="7"/>
        <v>RES</v>
      </c>
      <c r="D16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850Ohm 0.25W 1% 1206 AECQ</v>
      </c>
      <c r="E164" s="198" t="s">
        <v>1472</v>
      </c>
      <c r="F164" s="187" t="s">
        <v>352</v>
      </c>
      <c r="G164" s="188" t="s">
        <v>13</v>
      </c>
      <c r="H164" s="201" t="s">
        <v>21</v>
      </c>
      <c r="I164" s="186" t="s">
        <v>1471</v>
      </c>
      <c r="J164" s="209" t="s">
        <v>1473</v>
      </c>
      <c r="K164" s="210" t="s">
        <v>11</v>
      </c>
      <c r="L164" s="210" t="s">
        <v>10</v>
      </c>
      <c r="M164" s="201" t="s">
        <v>44</v>
      </c>
      <c r="N164" s="185" t="str">
        <f>Resistors[[#This Row],[Footprint]]</f>
        <v>RES-1206</v>
      </c>
      <c r="O164" s="180" t="s">
        <v>1477</v>
      </c>
    </row>
    <row r="165" spans="1:15" x14ac:dyDescent="0.25">
      <c r="A165" s="183">
        <f t="shared" si="6"/>
        <v>164</v>
      </c>
      <c r="B165" s="206" t="s">
        <v>1474</v>
      </c>
      <c r="C165" s="184" t="str">
        <f t="shared" si="7"/>
        <v>RES</v>
      </c>
      <c r="D16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38.3Ohm 0.5W 1% 1210 AECQ</v>
      </c>
      <c r="E165" s="198" t="s">
        <v>1483</v>
      </c>
      <c r="F165" s="187" t="s">
        <v>66</v>
      </c>
      <c r="G165" s="188" t="s">
        <v>13</v>
      </c>
      <c r="H165" s="201" t="s">
        <v>22</v>
      </c>
      <c r="I165" s="194" t="s">
        <v>1475</v>
      </c>
      <c r="J165" s="209" t="s">
        <v>36</v>
      </c>
      <c r="K165" s="210" t="s">
        <v>11</v>
      </c>
      <c r="L165" s="210" t="s">
        <v>10</v>
      </c>
      <c r="M165" s="201" t="s">
        <v>44</v>
      </c>
      <c r="N165" s="185" t="str">
        <f>Resistors[[#This Row],[Footprint]]</f>
        <v>RES-1210</v>
      </c>
    </row>
    <row r="166" spans="1:15" x14ac:dyDescent="0.25">
      <c r="A166" s="183">
        <f t="shared" ref="A166:A211" si="8">ROW()-1</f>
        <v>165</v>
      </c>
      <c r="B166" s="206" t="s">
        <v>1474</v>
      </c>
      <c r="C166" s="184" t="str">
        <f t="shared" si="7"/>
        <v>RES</v>
      </c>
      <c r="D16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38.3Ohm 0.5W 1% 1210 AECQ</v>
      </c>
      <c r="E166" s="198" t="s">
        <v>1483</v>
      </c>
      <c r="F166" s="187" t="s">
        <v>66</v>
      </c>
      <c r="G166" s="188" t="s">
        <v>13</v>
      </c>
      <c r="H166" s="201" t="s">
        <v>22</v>
      </c>
      <c r="I166" s="186" t="s">
        <v>1476</v>
      </c>
      <c r="J166" s="209" t="s">
        <v>1473</v>
      </c>
      <c r="K166" s="210" t="s">
        <v>11</v>
      </c>
      <c r="L166" s="210" t="s">
        <v>10</v>
      </c>
      <c r="M166" s="201" t="s">
        <v>44</v>
      </c>
      <c r="N166" s="185" t="str">
        <f>Resistors[[#This Row],[Footprint]]</f>
        <v>RES-1210</v>
      </c>
      <c r="O166" s="180" t="s">
        <v>1479</v>
      </c>
    </row>
    <row r="167" spans="1:15" x14ac:dyDescent="0.25">
      <c r="A167" s="183">
        <f t="shared" si="8"/>
        <v>166</v>
      </c>
      <c r="B167" s="206" t="s">
        <v>1480</v>
      </c>
      <c r="C167" s="184" t="str">
        <f t="shared" si="7"/>
        <v>RES</v>
      </c>
      <c r="D16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24.9Ohm 0.5W 1% 1210 AECQ</v>
      </c>
      <c r="E167" s="198" t="s">
        <v>1484</v>
      </c>
      <c r="F167" s="187" t="s">
        <v>66</v>
      </c>
      <c r="G167" s="188" t="s">
        <v>13</v>
      </c>
      <c r="H167" s="201" t="s">
        <v>22</v>
      </c>
      <c r="I167" s="194" t="s">
        <v>1481</v>
      </c>
      <c r="J167" s="209" t="s">
        <v>36</v>
      </c>
      <c r="K167" s="210" t="s">
        <v>11</v>
      </c>
      <c r="L167" s="210" t="s">
        <v>10</v>
      </c>
      <c r="M167" s="201" t="s">
        <v>44</v>
      </c>
      <c r="N167" s="185" t="str">
        <f>Resistors[[#This Row],[Footprint]]</f>
        <v>RES-1210</v>
      </c>
    </row>
    <row r="168" spans="1:15" x14ac:dyDescent="0.25">
      <c r="A168" s="183">
        <f t="shared" si="8"/>
        <v>167</v>
      </c>
      <c r="B168" s="206" t="s">
        <v>1480</v>
      </c>
      <c r="C168" s="184" t="str">
        <f t="shared" si="7"/>
        <v>RES</v>
      </c>
      <c r="D16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24.9Ohm 0.5W 1% 1210 AECQ</v>
      </c>
      <c r="E168" s="198" t="s">
        <v>1484</v>
      </c>
      <c r="F168" s="187" t="s">
        <v>66</v>
      </c>
      <c r="G168" s="188" t="s">
        <v>13</v>
      </c>
      <c r="H168" s="201" t="s">
        <v>22</v>
      </c>
      <c r="I168" s="186" t="s">
        <v>1482</v>
      </c>
      <c r="J168" s="209" t="s">
        <v>1473</v>
      </c>
      <c r="K168" s="210" t="s">
        <v>11</v>
      </c>
      <c r="L168" s="210" t="s">
        <v>10</v>
      </c>
      <c r="M168" s="201" t="s">
        <v>44</v>
      </c>
      <c r="N168" s="185" t="str">
        <f>Resistors[[#This Row],[Footprint]]</f>
        <v>RES-1210</v>
      </c>
      <c r="O168" s="180" t="s">
        <v>1479</v>
      </c>
    </row>
    <row r="169" spans="1:15" x14ac:dyDescent="0.25">
      <c r="A169" s="183">
        <f t="shared" si="8"/>
        <v>168</v>
      </c>
      <c r="B169" s="206" t="s">
        <v>687</v>
      </c>
      <c r="C169" s="184" t="str">
        <f t="shared" si="7"/>
        <v>RES</v>
      </c>
      <c r="D16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0.125W Jumper 0805 AECQ</v>
      </c>
      <c r="E169" s="187" t="s">
        <v>514</v>
      </c>
      <c r="F169" s="187" t="s">
        <v>466</v>
      </c>
      <c r="G169" s="188" t="s">
        <v>516</v>
      </c>
      <c r="H169" s="201" t="s">
        <v>12</v>
      </c>
      <c r="I169" s="194" t="s">
        <v>517</v>
      </c>
      <c r="J169" s="209" t="s">
        <v>34</v>
      </c>
      <c r="K169" s="210" t="s">
        <v>11</v>
      </c>
      <c r="L169" s="210" t="s">
        <v>10</v>
      </c>
      <c r="M169" s="201" t="s">
        <v>44</v>
      </c>
      <c r="N169" s="185" t="str">
        <f>Resistors[[#This Row],[Footprint]]</f>
        <v>RES-0805</v>
      </c>
    </row>
    <row r="170" spans="1:15" x14ac:dyDescent="0.25">
      <c r="A170" s="183">
        <f t="shared" si="8"/>
        <v>169</v>
      </c>
      <c r="B170" s="206" t="s">
        <v>1489</v>
      </c>
      <c r="C170" s="184" t="str">
        <f t="shared" si="7"/>
        <v>RES</v>
      </c>
      <c r="D17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0.25W 1% 1206 AECQ</v>
      </c>
      <c r="E170" s="187" t="s">
        <v>514</v>
      </c>
      <c r="F170" s="187" t="s">
        <v>352</v>
      </c>
      <c r="G170" s="188" t="s">
        <v>13</v>
      </c>
      <c r="H170" s="201" t="s">
        <v>21</v>
      </c>
      <c r="I170" s="194" t="s">
        <v>1485</v>
      </c>
      <c r="J170" s="209" t="s">
        <v>36</v>
      </c>
      <c r="K170" s="210" t="s">
        <v>11</v>
      </c>
      <c r="L170" s="210" t="s">
        <v>10</v>
      </c>
      <c r="M170" s="201" t="s">
        <v>44</v>
      </c>
      <c r="N170" s="185" t="str">
        <f>Resistors[[#This Row],[Footprint]]</f>
        <v>RES-1206</v>
      </c>
    </row>
    <row r="171" spans="1:15" x14ac:dyDescent="0.25">
      <c r="A171" s="183">
        <f t="shared" si="8"/>
        <v>170</v>
      </c>
      <c r="B171" s="206" t="s">
        <v>1489</v>
      </c>
      <c r="C171" s="184" t="str">
        <f t="shared" si="7"/>
        <v>RES</v>
      </c>
      <c r="D17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0.25W 5% 1206 AECQ</v>
      </c>
      <c r="E171" s="187" t="s">
        <v>514</v>
      </c>
      <c r="F171" s="187" t="s">
        <v>352</v>
      </c>
      <c r="G171" s="188" t="s">
        <v>410</v>
      </c>
      <c r="H171" s="201" t="s">
        <v>21</v>
      </c>
      <c r="I171" s="194" t="s">
        <v>1486</v>
      </c>
      <c r="J171" s="209" t="s">
        <v>36</v>
      </c>
      <c r="K171" s="210" t="s">
        <v>11</v>
      </c>
      <c r="L171" s="210" t="s">
        <v>10</v>
      </c>
      <c r="M171" s="201" t="s">
        <v>44</v>
      </c>
      <c r="N171" s="185" t="str">
        <f>Resistors[[#This Row],[Footprint]]</f>
        <v>RES-1206</v>
      </c>
    </row>
    <row r="172" spans="1:15" x14ac:dyDescent="0.25">
      <c r="A172" s="183">
        <f t="shared" si="8"/>
        <v>171</v>
      </c>
      <c r="B172" s="206" t="s">
        <v>1489</v>
      </c>
      <c r="C172" s="184" t="str">
        <f t="shared" si="7"/>
        <v>RES</v>
      </c>
      <c r="D17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0.5W Jumper 1206 AECQ</v>
      </c>
      <c r="E172" s="187" t="s">
        <v>514</v>
      </c>
      <c r="F172" s="187" t="s">
        <v>66</v>
      </c>
      <c r="G172" s="188" t="s">
        <v>516</v>
      </c>
      <c r="H172" s="201" t="s">
        <v>21</v>
      </c>
      <c r="I172" s="194" t="s">
        <v>1487</v>
      </c>
      <c r="J172" s="209" t="s">
        <v>34</v>
      </c>
      <c r="K172" s="210" t="s">
        <v>11</v>
      </c>
      <c r="L172" s="210" t="s">
        <v>10</v>
      </c>
      <c r="M172" s="201" t="s">
        <v>44</v>
      </c>
      <c r="N172" s="185" t="str">
        <f>Resistors[[#This Row],[Footprint]]</f>
        <v>RES-1206</v>
      </c>
    </row>
    <row r="173" spans="1:15" x14ac:dyDescent="0.25">
      <c r="A173" s="183">
        <f t="shared" si="8"/>
        <v>172</v>
      </c>
      <c r="B173" s="206" t="s">
        <v>1489</v>
      </c>
      <c r="C173" s="184" t="str">
        <f t="shared" si="7"/>
        <v>RES</v>
      </c>
      <c r="D17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0Ohm 0.5W 1% 1206 AECQ</v>
      </c>
      <c r="E173" s="187" t="s">
        <v>514</v>
      </c>
      <c r="F173" s="187" t="s">
        <v>66</v>
      </c>
      <c r="G173" s="188" t="s">
        <v>13</v>
      </c>
      <c r="H173" s="201" t="s">
        <v>21</v>
      </c>
      <c r="I173" s="194" t="s">
        <v>1488</v>
      </c>
      <c r="J173" s="209" t="s">
        <v>1473</v>
      </c>
      <c r="K173" s="210" t="s">
        <v>11</v>
      </c>
      <c r="L173" s="210" t="s">
        <v>10</v>
      </c>
      <c r="M173" s="201" t="s">
        <v>44</v>
      </c>
      <c r="N173" s="185" t="str">
        <f>Resistors[[#This Row],[Footprint]]</f>
        <v>RES-1206</v>
      </c>
    </row>
    <row r="174" spans="1:15" x14ac:dyDescent="0.25">
      <c r="A174" s="183">
        <f t="shared" si="8"/>
        <v>173</v>
      </c>
      <c r="B174" s="206" t="s">
        <v>1490</v>
      </c>
      <c r="C174" s="184" t="str">
        <f t="shared" si="7"/>
        <v>RES</v>
      </c>
      <c r="D17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30Ohm 0.25W 5% 1206 AECQ</v>
      </c>
      <c r="E174" s="187" t="s">
        <v>1495</v>
      </c>
      <c r="F174" s="187" t="s">
        <v>352</v>
      </c>
      <c r="G174" s="188" t="s">
        <v>410</v>
      </c>
      <c r="H174" s="201" t="s">
        <v>21</v>
      </c>
      <c r="I174" s="194" t="s">
        <v>1491</v>
      </c>
      <c r="J174" s="209" t="s">
        <v>36</v>
      </c>
      <c r="K174" s="210" t="s">
        <v>11</v>
      </c>
      <c r="L174" s="210" t="s">
        <v>10</v>
      </c>
      <c r="M174" s="201" t="s">
        <v>44</v>
      </c>
      <c r="N174" s="185" t="str">
        <f>Resistors[[#This Row],[Footprint]]</f>
        <v>RES-1206</v>
      </c>
    </row>
    <row r="175" spans="1:15" x14ac:dyDescent="0.25">
      <c r="A175" s="183">
        <f t="shared" si="8"/>
        <v>174</v>
      </c>
      <c r="B175" s="206" t="s">
        <v>1490</v>
      </c>
      <c r="C175" s="184" t="str">
        <f t="shared" si="7"/>
        <v>RES</v>
      </c>
      <c r="D17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30Ohm 0.25W 1% 1206 AECQ</v>
      </c>
      <c r="E175" s="187" t="s">
        <v>1495</v>
      </c>
      <c r="F175" s="187" t="s">
        <v>352</v>
      </c>
      <c r="G175" s="188" t="s">
        <v>13</v>
      </c>
      <c r="H175" s="201" t="s">
        <v>21</v>
      </c>
      <c r="I175" s="194" t="s">
        <v>1492</v>
      </c>
      <c r="J175" s="209" t="s">
        <v>36</v>
      </c>
      <c r="K175" s="210" t="s">
        <v>11</v>
      </c>
      <c r="L175" s="210" t="s">
        <v>10</v>
      </c>
      <c r="M175" s="201" t="s">
        <v>44</v>
      </c>
      <c r="N175" s="185" t="str">
        <f>Resistors[[#This Row],[Footprint]]</f>
        <v>RES-1206</v>
      </c>
    </row>
    <row r="176" spans="1:15" x14ac:dyDescent="0.25">
      <c r="A176" s="183">
        <f t="shared" si="8"/>
        <v>175</v>
      </c>
      <c r="B176" s="206" t="s">
        <v>1490</v>
      </c>
      <c r="C176" s="184" t="str">
        <f t="shared" si="7"/>
        <v>RES</v>
      </c>
      <c r="D17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30Ohm 0.5W 1% 1206 AECQ</v>
      </c>
      <c r="E176" s="187" t="s">
        <v>1495</v>
      </c>
      <c r="F176" s="187" t="s">
        <v>66</v>
      </c>
      <c r="G176" s="188" t="s">
        <v>13</v>
      </c>
      <c r="H176" s="201" t="s">
        <v>21</v>
      </c>
      <c r="I176" s="194" t="s">
        <v>1493</v>
      </c>
      <c r="J176" s="209" t="s">
        <v>1473</v>
      </c>
      <c r="K176" s="210" t="s">
        <v>11</v>
      </c>
      <c r="L176" s="210" t="s">
        <v>10</v>
      </c>
      <c r="M176" s="201" t="s">
        <v>44</v>
      </c>
      <c r="N176" s="185" t="str">
        <f>Resistors[[#This Row],[Footprint]]</f>
        <v>RES-1206</v>
      </c>
      <c r="O176" s="180" t="s">
        <v>1513</v>
      </c>
    </row>
    <row r="177" spans="1:15" x14ac:dyDescent="0.25">
      <c r="A177" s="183">
        <f t="shared" si="8"/>
        <v>176</v>
      </c>
      <c r="B177" s="206" t="s">
        <v>1490</v>
      </c>
      <c r="C177" s="184" t="str">
        <f t="shared" si="7"/>
        <v>RES</v>
      </c>
      <c r="D17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30Ohm 0.5W 1% 1206 AECQ</v>
      </c>
      <c r="E177" s="187" t="s">
        <v>1495</v>
      </c>
      <c r="F177" s="187" t="s">
        <v>66</v>
      </c>
      <c r="G177" s="188" t="s">
        <v>13</v>
      </c>
      <c r="H177" s="201" t="s">
        <v>21</v>
      </c>
      <c r="I177" s="194" t="s">
        <v>1512</v>
      </c>
      <c r="J177" s="209" t="s">
        <v>36</v>
      </c>
      <c r="K177" s="210" t="s">
        <v>11</v>
      </c>
      <c r="L177" s="210" t="s">
        <v>10</v>
      </c>
      <c r="M177" s="201" t="s">
        <v>44</v>
      </c>
      <c r="N177" s="185" t="str">
        <f>Resistors[[#This Row],[Footprint]]</f>
        <v>RES-1206</v>
      </c>
    </row>
    <row r="178" spans="1:15" x14ac:dyDescent="0.25">
      <c r="A178" s="183">
        <f t="shared" si="8"/>
        <v>177</v>
      </c>
      <c r="B178" s="206" t="s">
        <v>1490</v>
      </c>
      <c r="C178" s="184" t="str">
        <f t="shared" si="7"/>
        <v>RES</v>
      </c>
      <c r="D17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30Ohm 0.25W 1% 1206 AECQ</v>
      </c>
      <c r="E178" s="187" t="s">
        <v>1495</v>
      </c>
      <c r="F178" s="187" t="s">
        <v>352</v>
      </c>
      <c r="G178" s="188" t="s">
        <v>13</v>
      </c>
      <c r="H178" s="201" t="s">
        <v>21</v>
      </c>
      <c r="I178" s="194" t="s">
        <v>1494</v>
      </c>
      <c r="J178" s="209" t="s">
        <v>1496</v>
      </c>
      <c r="K178" s="210" t="s">
        <v>11</v>
      </c>
      <c r="L178" s="210" t="s">
        <v>10</v>
      </c>
      <c r="M178" s="201" t="s">
        <v>44</v>
      </c>
      <c r="N178" s="185" t="str">
        <f>Resistors[[#This Row],[Footprint]]</f>
        <v>RES-1206</v>
      </c>
    </row>
    <row r="179" spans="1:15" x14ac:dyDescent="0.25">
      <c r="A179" s="183">
        <f t="shared" si="8"/>
        <v>178</v>
      </c>
      <c r="B179" s="206" t="s">
        <v>1497</v>
      </c>
      <c r="C179" s="184" t="str">
        <f t="shared" si="7"/>
        <v>RES</v>
      </c>
      <c r="D17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10Ohm 0.1W 1% 0603 AECQ</v>
      </c>
      <c r="E179" s="187" t="s">
        <v>458</v>
      </c>
      <c r="F179" s="187" t="s">
        <v>459</v>
      </c>
      <c r="G179" s="188" t="s">
        <v>13</v>
      </c>
      <c r="H179" s="201" t="s">
        <v>20</v>
      </c>
      <c r="I179" s="186" t="s">
        <v>1498</v>
      </c>
      <c r="J179" s="209" t="s">
        <v>1473</v>
      </c>
      <c r="K179" s="210" t="s">
        <v>11</v>
      </c>
      <c r="L179" s="210" t="s">
        <v>10</v>
      </c>
      <c r="M179" s="201" t="s">
        <v>44</v>
      </c>
      <c r="N179" s="185" t="str">
        <f>Resistors[[#This Row],[Footprint]]</f>
        <v>RES-0603</v>
      </c>
      <c r="O179" s="180" t="s">
        <v>1499</v>
      </c>
    </row>
    <row r="180" spans="1:15" x14ac:dyDescent="0.25">
      <c r="A180" s="183">
        <f t="shared" si="8"/>
        <v>179</v>
      </c>
      <c r="B180" s="206" t="s">
        <v>1502</v>
      </c>
      <c r="C180" s="184" t="str">
        <f t="shared" si="7"/>
        <v>RES</v>
      </c>
      <c r="D18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24.9Ohm 0.1W 1% 0603 AECQ</v>
      </c>
      <c r="E180" s="187" t="s">
        <v>1484</v>
      </c>
      <c r="F180" s="187" t="s">
        <v>459</v>
      </c>
      <c r="G180" s="188" t="s">
        <v>13</v>
      </c>
      <c r="H180" s="201" t="s">
        <v>20</v>
      </c>
      <c r="I180" s="194" t="s">
        <v>1500</v>
      </c>
      <c r="J180" s="209" t="s">
        <v>36</v>
      </c>
      <c r="K180" s="210" t="s">
        <v>11</v>
      </c>
      <c r="L180" s="210" t="s">
        <v>10</v>
      </c>
      <c r="M180" s="201" t="s">
        <v>44</v>
      </c>
      <c r="N180" s="185" t="str">
        <f>Resistors[[#This Row],[Footprint]]</f>
        <v>RES-0603</v>
      </c>
    </row>
    <row r="181" spans="1:15" x14ac:dyDescent="0.25">
      <c r="A181" s="183">
        <f t="shared" si="8"/>
        <v>180</v>
      </c>
      <c r="B181" s="206" t="s">
        <v>1502</v>
      </c>
      <c r="C181" s="184" t="str">
        <f t="shared" si="7"/>
        <v>RES</v>
      </c>
      <c r="D18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24.9Ohm 0.1W 1% 0603 AECQ</v>
      </c>
      <c r="E181" s="187" t="s">
        <v>1484</v>
      </c>
      <c r="F181" s="187" t="s">
        <v>459</v>
      </c>
      <c r="G181" s="188" t="s">
        <v>13</v>
      </c>
      <c r="H181" s="201" t="s">
        <v>20</v>
      </c>
      <c r="I181" s="186" t="s">
        <v>1501</v>
      </c>
      <c r="J181" s="209" t="s">
        <v>36</v>
      </c>
      <c r="K181" s="210" t="s">
        <v>11</v>
      </c>
      <c r="L181" s="210" t="s">
        <v>10</v>
      </c>
      <c r="M181" s="201" t="s">
        <v>44</v>
      </c>
      <c r="N181" s="185" t="str">
        <f>Resistors[[#This Row],[Footprint]]</f>
        <v>RES-0603</v>
      </c>
      <c r="O181" s="180" t="s">
        <v>1499</v>
      </c>
    </row>
    <row r="182" spans="1:15" x14ac:dyDescent="0.25">
      <c r="A182" s="183">
        <f t="shared" si="8"/>
        <v>181</v>
      </c>
      <c r="B182" s="206" t="s">
        <v>1503</v>
      </c>
      <c r="C182" s="184" t="str">
        <f t="shared" si="7"/>
        <v>RES</v>
      </c>
      <c r="D18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60.4Ohm 0.1W 1% 0603 AECQ</v>
      </c>
      <c r="E182" s="187" t="s">
        <v>1507</v>
      </c>
      <c r="F182" s="187" t="s">
        <v>459</v>
      </c>
      <c r="G182" s="188" t="s">
        <v>13</v>
      </c>
      <c r="H182" s="201" t="s">
        <v>20</v>
      </c>
      <c r="I182" s="194" t="s">
        <v>1504</v>
      </c>
      <c r="J182" s="209" t="s">
        <v>36</v>
      </c>
      <c r="K182" s="210" t="s">
        <v>11</v>
      </c>
      <c r="L182" s="210" t="s">
        <v>10</v>
      </c>
      <c r="M182" s="201" t="s">
        <v>44</v>
      </c>
      <c r="N182" s="185" t="str">
        <f>Resistors[[#This Row],[Footprint]]</f>
        <v>RES-0603</v>
      </c>
    </row>
    <row r="183" spans="1:15" x14ac:dyDescent="0.25">
      <c r="A183" s="183">
        <f t="shared" si="8"/>
        <v>182</v>
      </c>
      <c r="B183" s="206" t="s">
        <v>1503</v>
      </c>
      <c r="C183" s="184" t="str">
        <f t="shared" si="7"/>
        <v>RES</v>
      </c>
      <c r="D18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59Ohm 0.1W 1% 0603 AECQ</v>
      </c>
      <c r="E183" s="187" t="s">
        <v>1508</v>
      </c>
      <c r="F183" s="187" t="s">
        <v>459</v>
      </c>
      <c r="G183" s="188" t="s">
        <v>13</v>
      </c>
      <c r="H183" s="201" t="s">
        <v>20</v>
      </c>
      <c r="I183" s="186" t="s">
        <v>1505</v>
      </c>
      <c r="J183" s="209" t="s">
        <v>1473</v>
      </c>
      <c r="K183" s="210" t="s">
        <v>11</v>
      </c>
      <c r="L183" s="210" t="s">
        <v>10</v>
      </c>
      <c r="M183" s="201" t="s">
        <v>44</v>
      </c>
      <c r="N183" s="185" t="str">
        <f>Resistors[[#This Row],[Footprint]]</f>
        <v>RES-0603</v>
      </c>
      <c r="O183" s="180" t="s">
        <v>1499</v>
      </c>
    </row>
    <row r="184" spans="1:15" x14ac:dyDescent="0.25">
      <c r="A184" s="183">
        <f t="shared" si="8"/>
        <v>183</v>
      </c>
      <c r="B184" s="206" t="s">
        <v>1503</v>
      </c>
      <c r="C184" s="184" t="str">
        <f t="shared" si="7"/>
        <v>RES</v>
      </c>
      <c r="D18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60.4Ohm 0.125W 1% 0603 AECQ</v>
      </c>
      <c r="E184" s="187" t="s">
        <v>1507</v>
      </c>
      <c r="F184" s="187" t="s">
        <v>466</v>
      </c>
      <c r="G184" s="188" t="s">
        <v>13</v>
      </c>
      <c r="H184" s="201" t="s">
        <v>20</v>
      </c>
      <c r="I184" s="194" t="s">
        <v>1506</v>
      </c>
      <c r="J184" s="209" t="s">
        <v>34</v>
      </c>
      <c r="K184" s="210" t="s">
        <v>11</v>
      </c>
      <c r="L184" s="210" t="s">
        <v>10</v>
      </c>
      <c r="M184" s="201" t="s">
        <v>44</v>
      </c>
      <c r="N184" s="185" t="str">
        <f>Resistors[[#This Row],[Footprint]]</f>
        <v>RES-0603</v>
      </c>
    </row>
    <row r="185" spans="1:15" x14ac:dyDescent="0.25">
      <c r="A185" s="183">
        <f t="shared" si="8"/>
        <v>184</v>
      </c>
      <c r="B185" s="206" t="s">
        <v>1509</v>
      </c>
      <c r="C185" s="184" t="str">
        <f t="shared" si="7"/>
        <v>RES</v>
      </c>
      <c r="D18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69.8Ohm 0.1W 1% 0603 AECQ</v>
      </c>
      <c r="E185" s="187" t="s">
        <v>1511</v>
      </c>
      <c r="F185" s="187" t="s">
        <v>459</v>
      </c>
      <c r="G185" s="188" t="s">
        <v>13</v>
      </c>
      <c r="H185" s="201" t="s">
        <v>20</v>
      </c>
      <c r="I185" s="186" t="s">
        <v>1510</v>
      </c>
      <c r="J185" s="209" t="s">
        <v>1473</v>
      </c>
      <c r="K185" s="210" t="s">
        <v>11</v>
      </c>
      <c r="L185" s="210" t="s">
        <v>10</v>
      </c>
      <c r="M185" s="201" t="s">
        <v>44</v>
      </c>
      <c r="N185" s="185" t="str">
        <f>Resistors[[#This Row],[Footprint]]</f>
        <v>RES-0603</v>
      </c>
      <c r="O185" s="180" t="s">
        <v>1499</v>
      </c>
    </row>
    <row r="186" spans="1:15" x14ac:dyDescent="0.25">
      <c r="A186" s="183">
        <f t="shared" si="8"/>
        <v>185</v>
      </c>
      <c r="B186" s="206" t="s">
        <v>1514</v>
      </c>
      <c r="C186" s="184" t="str">
        <f t="shared" si="7"/>
        <v>RES</v>
      </c>
      <c r="D18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120Ohm 0.1W 1% 0603 AECQ</v>
      </c>
      <c r="E186" s="187" t="s">
        <v>417</v>
      </c>
      <c r="F186" s="187" t="s">
        <v>459</v>
      </c>
      <c r="G186" s="188" t="s">
        <v>13</v>
      </c>
      <c r="H186" s="201" t="s">
        <v>20</v>
      </c>
      <c r="I186" s="194" t="s">
        <v>1515</v>
      </c>
      <c r="J186" s="209" t="s">
        <v>36</v>
      </c>
      <c r="K186" s="210" t="s">
        <v>11</v>
      </c>
      <c r="L186" s="210" t="s">
        <v>10</v>
      </c>
      <c r="M186" s="201" t="s">
        <v>44</v>
      </c>
      <c r="N186" s="185" t="str">
        <f>Resistors[[#This Row],[Footprint]]</f>
        <v>RES-0603</v>
      </c>
    </row>
    <row r="187" spans="1:15" x14ac:dyDescent="0.25">
      <c r="A187" s="183">
        <f t="shared" si="8"/>
        <v>186</v>
      </c>
      <c r="B187" s="206" t="s">
        <v>1514</v>
      </c>
      <c r="C187" s="184" t="str">
        <f t="shared" si="7"/>
        <v>RES</v>
      </c>
      <c r="D18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120Ohm 0.1W 1% 0603 AECQ</v>
      </c>
      <c r="E187" s="187" t="s">
        <v>417</v>
      </c>
      <c r="F187" s="187" t="s">
        <v>459</v>
      </c>
      <c r="G187" s="188" t="s">
        <v>13</v>
      </c>
      <c r="H187" s="201" t="s">
        <v>20</v>
      </c>
      <c r="I187" s="186" t="s">
        <v>1516</v>
      </c>
      <c r="J187" s="209" t="s">
        <v>1473</v>
      </c>
      <c r="K187" s="210" t="s">
        <v>11</v>
      </c>
      <c r="L187" s="210" t="s">
        <v>10</v>
      </c>
      <c r="M187" s="201" t="s">
        <v>44</v>
      </c>
      <c r="N187" s="185" t="str">
        <f>Resistors[[#This Row],[Footprint]]</f>
        <v>RES-0603</v>
      </c>
      <c r="O187" s="180" t="s">
        <v>1499</v>
      </c>
    </row>
    <row r="188" spans="1:15" x14ac:dyDescent="0.25">
      <c r="A188" s="183">
        <f t="shared" si="8"/>
        <v>187</v>
      </c>
      <c r="B188" s="206" t="s">
        <v>1514</v>
      </c>
      <c r="C188" s="184" t="str">
        <f t="shared" si="7"/>
        <v>RES</v>
      </c>
      <c r="D18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2.2KOhm 0.0625W 1% 0402 STD</v>
      </c>
      <c r="E188" s="187" t="s">
        <v>1525</v>
      </c>
      <c r="F188" s="187" t="s">
        <v>1518</v>
      </c>
      <c r="G188" s="188" t="s">
        <v>13</v>
      </c>
      <c r="H188" s="201" t="s">
        <v>19</v>
      </c>
      <c r="I188" s="194" t="s">
        <v>1517</v>
      </c>
      <c r="J188" s="209" t="s">
        <v>1473</v>
      </c>
      <c r="K188" s="210" t="s">
        <v>1561</v>
      </c>
      <c r="L188" s="210" t="s">
        <v>10</v>
      </c>
      <c r="M188" s="201" t="s">
        <v>44</v>
      </c>
      <c r="N188" s="185" t="str">
        <f>Resistors[[#This Row],[Footprint]]</f>
        <v>RES-0402</v>
      </c>
    </row>
    <row r="189" spans="1:15" x14ac:dyDescent="0.25">
      <c r="A189" s="183">
        <f t="shared" si="8"/>
        <v>188</v>
      </c>
      <c r="B189" s="206" t="s">
        <v>1521</v>
      </c>
      <c r="C189" s="184" t="str">
        <f t="shared" si="7"/>
        <v>RES</v>
      </c>
      <c r="D18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390Ohm 0.1W 1% 0603 AECQ</v>
      </c>
      <c r="E189" s="187" t="s">
        <v>555</v>
      </c>
      <c r="F189" s="187" t="s">
        <v>459</v>
      </c>
      <c r="G189" s="188" t="s">
        <v>13</v>
      </c>
      <c r="H189" s="201" t="s">
        <v>20</v>
      </c>
      <c r="I189" s="194" t="s">
        <v>1522</v>
      </c>
      <c r="J189" s="209" t="s">
        <v>36</v>
      </c>
      <c r="K189" s="210" t="s">
        <v>11</v>
      </c>
      <c r="L189" s="210" t="s">
        <v>10</v>
      </c>
      <c r="M189" s="201" t="s">
        <v>44</v>
      </c>
      <c r="N189" s="185" t="str">
        <f>Resistors[[#This Row],[Footprint]]</f>
        <v>RES-0603</v>
      </c>
    </row>
    <row r="190" spans="1:15" x14ac:dyDescent="0.25">
      <c r="A190" s="183">
        <f t="shared" si="8"/>
        <v>189</v>
      </c>
      <c r="B190" s="206" t="s">
        <v>1521</v>
      </c>
      <c r="C190" s="184" t="str">
        <f t="shared" si="7"/>
        <v>RES</v>
      </c>
      <c r="D19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390Ohm 0.1W 1% 0603 AECQ</v>
      </c>
      <c r="E190" s="187" t="s">
        <v>555</v>
      </c>
      <c r="F190" s="187" t="s">
        <v>459</v>
      </c>
      <c r="G190" s="188" t="s">
        <v>13</v>
      </c>
      <c r="H190" s="201" t="s">
        <v>20</v>
      </c>
      <c r="I190" s="186" t="s">
        <v>1523</v>
      </c>
      <c r="J190" s="209" t="s">
        <v>1473</v>
      </c>
      <c r="K190" s="210" t="s">
        <v>11</v>
      </c>
      <c r="L190" s="210" t="s">
        <v>10</v>
      </c>
      <c r="M190" s="201" t="s">
        <v>44</v>
      </c>
      <c r="N190" s="185" t="str">
        <f>Resistors[[#This Row],[Footprint]]</f>
        <v>RES-0603</v>
      </c>
    </row>
    <row r="191" spans="1:15" x14ac:dyDescent="0.25">
      <c r="A191" s="183">
        <f t="shared" si="8"/>
        <v>190</v>
      </c>
      <c r="B191" s="206" t="s">
        <v>1521</v>
      </c>
      <c r="C191" s="184" t="str">
        <f t="shared" si="7"/>
        <v>RES</v>
      </c>
      <c r="D19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390Ohm 0.1W 1% 0603 AECQ</v>
      </c>
      <c r="E191" s="187" t="s">
        <v>555</v>
      </c>
      <c r="F191" s="187" t="s">
        <v>459</v>
      </c>
      <c r="G191" s="188" t="s">
        <v>13</v>
      </c>
      <c r="H191" s="201" t="s">
        <v>20</v>
      </c>
      <c r="I191" s="194" t="s">
        <v>1524</v>
      </c>
      <c r="J191" s="209" t="s">
        <v>30</v>
      </c>
      <c r="K191" s="210" t="s">
        <v>11</v>
      </c>
      <c r="L191" s="210" t="s">
        <v>10</v>
      </c>
      <c r="M191" s="201" t="s">
        <v>44</v>
      </c>
      <c r="N191" s="185" t="str">
        <f>Resistors[[#This Row],[Footprint]]</f>
        <v>RES-0603</v>
      </c>
    </row>
    <row r="192" spans="1:15" x14ac:dyDescent="0.25">
      <c r="A192" s="183">
        <f t="shared" si="8"/>
        <v>191</v>
      </c>
      <c r="B192" s="206" t="s">
        <v>694</v>
      </c>
      <c r="C192" s="184" t="str">
        <f t="shared" si="7"/>
        <v>RES</v>
      </c>
      <c r="D19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33KOhm 0.1W 1% 0603 AECQ</v>
      </c>
      <c r="E192" s="187" t="s">
        <v>668</v>
      </c>
      <c r="F192" s="187" t="s">
        <v>459</v>
      </c>
      <c r="G192" s="188" t="s">
        <v>13</v>
      </c>
      <c r="H192" s="201" t="s">
        <v>20</v>
      </c>
      <c r="I192" s="194" t="s">
        <v>695</v>
      </c>
      <c r="J192" s="209" t="s">
        <v>36</v>
      </c>
      <c r="K192" s="210" t="s">
        <v>11</v>
      </c>
      <c r="L192" s="210" t="s">
        <v>10</v>
      </c>
      <c r="M192" s="201" t="s">
        <v>44</v>
      </c>
      <c r="N192" s="185" t="str">
        <f>Resistors[[#This Row],[Footprint]]</f>
        <v>RES-0603</v>
      </c>
    </row>
    <row r="193" spans="1:15" x14ac:dyDescent="0.25">
      <c r="A193" s="183">
        <f t="shared" si="8"/>
        <v>192</v>
      </c>
      <c r="B193" s="206" t="s">
        <v>694</v>
      </c>
      <c r="C193" s="184" t="str">
        <f t="shared" si="7"/>
        <v>RES</v>
      </c>
      <c r="D19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193" s="187"/>
      <c r="F193" s="187"/>
      <c r="G193" s="188"/>
      <c r="H193" s="201"/>
      <c r="I193" s="194" t="s">
        <v>1528</v>
      </c>
      <c r="J193" s="209"/>
      <c r="K193" s="210"/>
      <c r="L193" s="210"/>
      <c r="M193" s="201" t="s">
        <v>44</v>
      </c>
      <c r="N193" s="185">
        <f>Resistors[[#This Row],[Footprint]]</f>
        <v>0</v>
      </c>
    </row>
    <row r="194" spans="1:15" x14ac:dyDescent="0.25">
      <c r="A194" s="183">
        <f t="shared" si="8"/>
        <v>193</v>
      </c>
      <c r="B194" s="206" t="s">
        <v>694</v>
      </c>
      <c r="C194" s="184" t="str">
        <f t="shared" si="7"/>
        <v>RES</v>
      </c>
      <c r="D19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194" s="187"/>
      <c r="F194" s="187"/>
      <c r="G194" s="188"/>
      <c r="H194" s="201"/>
      <c r="I194" s="196" t="s">
        <v>1526</v>
      </c>
      <c r="J194" s="209"/>
      <c r="K194" s="210"/>
      <c r="L194" s="210"/>
      <c r="M194" s="201" t="s">
        <v>44</v>
      </c>
      <c r="N194" s="185">
        <f>Resistors[[#This Row],[Footprint]]</f>
        <v>0</v>
      </c>
      <c r="O194" s="228" t="s">
        <v>1529</v>
      </c>
    </row>
    <row r="195" spans="1:15" x14ac:dyDescent="0.25">
      <c r="A195" s="183">
        <f t="shared" si="8"/>
        <v>194</v>
      </c>
      <c r="B195" s="206" t="s">
        <v>694</v>
      </c>
      <c r="C195" s="184" t="str">
        <f t="shared" si="7"/>
        <v>RES</v>
      </c>
      <c r="D19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33KOhm 0.1W 1% 0603 AECQ</v>
      </c>
      <c r="E195" s="227" t="s">
        <v>668</v>
      </c>
      <c r="F195" s="224" t="s">
        <v>459</v>
      </c>
      <c r="G195" s="225" t="s">
        <v>13</v>
      </c>
      <c r="H195" s="226" t="s">
        <v>20</v>
      </c>
      <c r="I195" s="194" t="s">
        <v>1527</v>
      </c>
      <c r="J195" s="209" t="s">
        <v>36</v>
      </c>
      <c r="K195" s="210" t="s">
        <v>11</v>
      </c>
      <c r="L195" s="210" t="s">
        <v>10</v>
      </c>
      <c r="M195" s="201" t="s">
        <v>44</v>
      </c>
      <c r="N195" s="185" t="str">
        <f>Resistors[[#This Row],[Footprint]]</f>
        <v>RES-0603</v>
      </c>
      <c r="O195" s="228" t="s">
        <v>1530</v>
      </c>
    </row>
    <row r="196" spans="1:15" x14ac:dyDescent="0.25">
      <c r="A196" s="183">
        <f t="shared" si="8"/>
        <v>195</v>
      </c>
      <c r="B196" s="229" t="s">
        <v>1532</v>
      </c>
      <c r="C196" s="184" t="str">
        <f t="shared" si="7"/>
        <v>RES</v>
      </c>
      <c r="D19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0.25W 5% 1206 AECQ</v>
      </c>
      <c r="E196" s="187" t="s">
        <v>440</v>
      </c>
      <c r="F196" s="224" t="s">
        <v>352</v>
      </c>
      <c r="G196" s="225" t="s">
        <v>410</v>
      </c>
      <c r="H196" s="201" t="s">
        <v>21</v>
      </c>
      <c r="I196" s="228" t="s">
        <v>1531</v>
      </c>
      <c r="J196" s="209" t="s">
        <v>36</v>
      </c>
      <c r="K196" s="210" t="s">
        <v>11</v>
      </c>
      <c r="L196" s="210" t="s">
        <v>10</v>
      </c>
      <c r="M196" s="201" t="s">
        <v>44</v>
      </c>
      <c r="N196" s="185" t="str">
        <f>Resistors[[#This Row],[Footprint]]</f>
        <v>RES-1206</v>
      </c>
    </row>
    <row r="197" spans="1:15" x14ac:dyDescent="0.25">
      <c r="A197" s="183">
        <f t="shared" si="8"/>
        <v>196</v>
      </c>
      <c r="B197" s="229" t="s">
        <v>1532</v>
      </c>
      <c r="C197" s="184" t="str">
        <f t="shared" si="7"/>
        <v>RES</v>
      </c>
      <c r="D19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0.25W 1% 1206 AECQ</v>
      </c>
      <c r="E197" s="187" t="s">
        <v>440</v>
      </c>
      <c r="F197" s="224" t="s">
        <v>352</v>
      </c>
      <c r="G197" s="225" t="s">
        <v>13</v>
      </c>
      <c r="H197" s="201" t="s">
        <v>21</v>
      </c>
      <c r="I197" s="194" t="s">
        <v>1533</v>
      </c>
      <c r="J197" s="209" t="s">
        <v>36</v>
      </c>
      <c r="K197" s="210" t="s">
        <v>11</v>
      </c>
      <c r="L197" s="210" t="s">
        <v>10</v>
      </c>
      <c r="M197" s="201" t="s">
        <v>44</v>
      </c>
      <c r="N197" s="185" t="str">
        <f>Resistors[[#This Row],[Footprint]]</f>
        <v>RES-1206</v>
      </c>
    </row>
    <row r="198" spans="1:15" x14ac:dyDescent="0.25">
      <c r="A198" s="183">
        <f t="shared" si="8"/>
        <v>197</v>
      </c>
      <c r="B198" s="229" t="s">
        <v>1532</v>
      </c>
      <c r="C198" s="184" t="str">
        <f t="shared" ref="C198:C206" si="9">"RES"</f>
        <v>RES</v>
      </c>
      <c r="D19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0.5W 1% 1206 AECQ</v>
      </c>
      <c r="E198" s="187" t="s">
        <v>440</v>
      </c>
      <c r="F198" s="224" t="s">
        <v>66</v>
      </c>
      <c r="G198" s="225" t="s">
        <v>13</v>
      </c>
      <c r="H198" s="201" t="s">
        <v>21</v>
      </c>
      <c r="I198" s="194" t="s">
        <v>443</v>
      </c>
      <c r="J198" s="209" t="s">
        <v>34</v>
      </c>
      <c r="K198" s="210" t="s">
        <v>11</v>
      </c>
      <c r="L198" s="210" t="s">
        <v>10</v>
      </c>
      <c r="M198" s="201" t="s">
        <v>44</v>
      </c>
      <c r="N198" s="185" t="str">
        <f>Resistors[[#This Row],[Footprint]]</f>
        <v>RES-1206</v>
      </c>
    </row>
    <row r="199" spans="1:15" x14ac:dyDescent="0.25">
      <c r="A199" s="183">
        <f t="shared" si="8"/>
        <v>198</v>
      </c>
      <c r="B199" s="229" t="s">
        <v>1532</v>
      </c>
      <c r="C199" s="184" t="str">
        <f t="shared" si="9"/>
        <v>RES</v>
      </c>
      <c r="D19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0.5W 1% 1206 AECQ</v>
      </c>
      <c r="E199" s="187" t="s">
        <v>440</v>
      </c>
      <c r="F199" s="224" t="s">
        <v>66</v>
      </c>
      <c r="G199" s="225" t="s">
        <v>13</v>
      </c>
      <c r="H199" s="201" t="s">
        <v>21</v>
      </c>
      <c r="I199" s="194" t="s">
        <v>1534</v>
      </c>
      <c r="J199" s="209" t="s">
        <v>1536</v>
      </c>
      <c r="K199" s="210" t="s">
        <v>11</v>
      </c>
      <c r="L199" s="210" t="s">
        <v>10</v>
      </c>
      <c r="M199" s="201" t="s">
        <v>44</v>
      </c>
      <c r="N199" s="185" t="str">
        <f>Resistors[[#This Row],[Footprint]]</f>
        <v>RES-1206</v>
      </c>
      <c r="O199" s="180" t="s">
        <v>1535</v>
      </c>
    </row>
    <row r="200" spans="1:15" x14ac:dyDescent="0.25">
      <c r="A200" s="183">
        <f t="shared" si="8"/>
        <v>199</v>
      </c>
      <c r="B200" s="229" t="s">
        <v>1532</v>
      </c>
      <c r="C200" s="184" t="str">
        <f t="shared" si="9"/>
        <v>RES</v>
      </c>
      <c r="D20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220Ohm 0.5W 1% 1206 AECQ</v>
      </c>
      <c r="E200" s="187" t="s">
        <v>440</v>
      </c>
      <c r="F200" s="224" t="s">
        <v>66</v>
      </c>
      <c r="G200" s="225" t="s">
        <v>13</v>
      </c>
      <c r="H200" s="201" t="s">
        <v>21</v>
      </c>
      <c r="I200" s="194" t="s">
        <v>442</v>
      </c>
      <c r="J200" s="209" t="s">
        <v>1473</v>
      </c>
      <c r="K200" s="210" t="s">
        <v>11</v>
      </c>
      <c r="L200" s="210" t="s">
        <v>10</v>
      </c>
      <c r="M200" s="201" t="s">
        <v>44</v>
      </c>
      <c r="N200" s="185" t="str">
        <f>Resistors[[#This Row],[Footprint]]</f>
        <v>RES-1206</v>
      </c>
    </row>
    <row r="201" spans="1:15" x14ac:dyDescent="0.25">
      <c r="A201" s="183">
        <f t="shared" si="8"/>
        <v>200</v>
      </c>
      <c r="B201" s="206" t="s">
        <v>1537</v>
      </c>
      <c r="C201" s="184" t="str">
        <f t="shared" si="9"/>
        <v>RES</v>
      </c>
      <c r="D20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2.2KOhm 0.2W 1% 0603 AECQ</v>
      </c>
      <c r="E201" s="187" t="s">
        <v>1525</v>
      </c>
      <c r="F201" s="190" t="s">
        <v>1127</v>
      </c>
      <c r="G201" s="225" t="s">
        <v>13</v>
      </c>
      <c r="H201" s="201" t="s">
        <v>20</v>
      </c>
      <c r="I201" s="194" t="s">
        <v>1538</v>
      </c>
      <c r="J201" s="209" t="s">
        <v>36</v>
      </c>
      <c r="K201" s="210" t="s">
        <v>11</v>
      </c>
      <c r="L201" s="210" t="s">
        <v>10</v>
      </c>
      <c r="M201" s="201" t="s">
        <v>44</v>
      </c>
      <c r="N201" s="185" t="str">
        <f>Resistors[[#This Row],[Footprint]]</f>
        <v>RES-0603</v>
      </c>
    </row>
    <row r="202" spans="1:15" x14ac:dyDescent="0.25">
      <c r="A202" s="183">
        <f t="shared" si="8"/>
        <v>201</v>
      </c>
      <c r="B202" s="206" t="s">
        <v>1537</v>
      </c>
      <c r="C202" s="184" t="str">
        <f t="shared" si="9"/>
        <v>RES</v>
      </c>
      <c r="D20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2.2KOhm 0.1W 1% 0603 AECQ</v>
      </c>
      <c r="E202" s="187" t="s">
        <v>1525</v>
      </c>
      <c r="F202" s="224" t="s">
        <v>459</v>
      </c>
      <c r="G202" s="225" t="s">
        <v>13</v>
      </c>
      <c r="H202" s="201" t="s">
        <v>20</v>
      </c>
      <c r="I202" s="194" t="s">
        <v>1539</v>
      </c>
      <c r="J202" s="209" t="s">
        <v>9</v>
      </c>
      <c r="K202" s="210" t="s">
        <v>11</v>
      </c>
      <c r="L202" s="210" t="s">
        <v>10</v>
      </c>
      <c r="M202" s="201" t="s">
        <v>44</v>
      </c>
      <c r="N202" s="185" t="str">
        <f>Resistors[[#This Row],[Footprint]]</f>
        <v>RES-0603</v>
      </c>
    </row>
    <row r="203" spans="1:15" x14ac:dyDescent="0.25">
      <c r="A203" s="183">
        <f t="shared" si="8"/>
        <v>202</v>
      </c>
      <c r="B203" s="206" t="s">
        <v>1629</v>
      </c>
      <c r="C203" s="184" t="str">
        <f t="shared" si="9"/>
        <v>RES</v>
      </c>
      <c r="D20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3.6KOhm 0.1W 1% 0603 AECQ</v>
      </c>
      <c r="E203" s="187" t="s">
        <v>599</v>
      </c>
      <c r="F203" s="224" t="s">
        <v>459</v>
      </c>
      <c r="G203" s="225" t="s">
        <v>13</v>
      </c>
      <c r="H203" s="201" t="s">
        <v>20</v>
      </c>
      <c r="I203" s="194" t="s">
        <v>1630</v>
      </c>
      <c r="J203" s="209" t="s">
        <v>36</v>
      </c>
      <c r="K203" s="210" t="s">
        <v>11</v>
      </c>
      <c r="L203" s="210" t="s">
        <v>10</v>
      </c>
      <c r="M203" s="201" t="s">
        <v>44</v>
      </c>
      <c r="N203" s="185" t="str">
        <f>Resistors[[#This Row],[Footprint]]</f>
        <v>RES-0603</v>
      </c>
    </row>
    <row r="204" spans="1:15" x14ac:dyDescent="0.25">
      <c r="A204" s="183">
        <f t="shared" si="8"/>
        <v>203</v>
      </c>
      <c r="B204" s="206" t="s">
        <v>1631</v>
      </c>
      <c r="C204" s="184" t="str">
        <f t="shared" si="9"/>
        <v>RES</v>
      </c>
      <c r="D204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38.3KOhm 0.1W 1% 0603 AECQ</v>
      </c>
      <c r="E204" s="187" t="s">
        <v>609</v>
      </c>
      <c r="F204" s="224" t="s">
        <v>459</v>
      </c>
      <c r="G204" s="225" t="s">
        <v>13</v>
      </c>
      <c r="H204" s="201" t="s">
        <v>20</v>
      </c>
      <c r="I204" s="194" t="s">
        <v>1632</v>
      </c>
      <c r="J204" s="209" t="s">
        <v>36</v>
      </c>
      <c r="K204" s="210" t="s">
        <v>11</v>
      </c>
      <c r="L204" s="210" t="s">
        <v>10</v>
      </c>
      <c r="M204" s="201" t="s">
        <v>44</v>
      </c>
      <c r="N204" s="185" t="str">
        <f>Resistors[[#This Row],[Footprint]]</f>
        <v>RES-0603</v>
      </c>
    </row>
    <row r="205" spans="1:15" x14ac:dyDescent="0.25">
      <c r="A205" s="183">
        <f t="shared" si="8"/>
        <v>204</v>
      </c>
      <c r="B205" s="206" t="s">
        <v>1631</v>
      </c>
      <c r="C205" s="184" t="str">
        <f t="shared" si="9"/>
        <v>RES</v>
      </c>
      <c r="D205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38.3KOhm 0.1W 1% 0603 STD</v>
      </c>
      <c r="E205" s="187" t="s">
        <v>609</v>
      </c>
      <c r="F205" s="224" t="s">
        <v>459</v>
      </c>
      <c r="G205" s="225" t="s">
        <v>13</v>
      </c>
      <c r="H205" s="201" t="s">
        <v>20</v>
      </c>
      <c r="I205" s="194" t="s">
        <v>1633</v>
      </c>
      <c r="J205" s="209" t="s">
        <v>36</v>
      </c>
      <c r="K205" s="210" t="s">
        <v>1561</v>
      </c>
      <c r="L205" s="210" t="s">
        <v>10</v>
      </c>
      <c r="M205" s="201" t="s">
        <v>44</v>
      </c>
      <c r="N205" s="185" t="str">
        <f>Resistors[[#This Row],[Footprint]]</f>
        <v>RES-0603</v>
      </c>
    </row>
    <row r="206" spans="1:15" x14ac:dyDescent="0.25">
      <c r="A206" s="183">
        <f t="shared" si="8"/>
        <v>205</v>
      </c>
      <c r="B206" s="206" t="s">
        <v>1634</v>
      </c>
      <c r="C206" s="184" t="str">
        <f t="shared" si="9"/>
        <v>RES</v>
      </c>
      <c r="D206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11KOhm 0.1W 1% 0603 AECQ</v>
      </c>
      <c r="E206" s="187" t="s">
        <v>1637</v>
      </c>
      <c r="F206" s="224" t="s">
        <v>459</v>
      </c>
      <c r="G206" s="225" t="s">
        <v>13</v>
      </c>
      <c r="H206" s="201" t="s">
        <v>20</v>
      </c>
      <c r="I206" s="194" t="s">
        <v>1635</v>
      </c>
      <c r="J206" s="209" t="s">
        <v>36</v>
      </c>
      <c r="K206" s="210" t="s">
        <v>11</v>
      </c>
      <c r="L206" s="210" t="s">
        <v>10</v>
      </c>
      <c r="M206" s="201" t="s">
        <v>44</v>
      </c>
      <c r="N206" s="185" t="str">
        <f>Resistors[[#This Row],[Footprint]]</f>
        <v>RES-0603</v>
      </c>
    </row>
    <row r="207" spans="1:15" x14ac:dyDescent="0.25">
      <c r="A207" s="183">
        <f t="shared" si="8"/>
        <v>206</v>
      </c>
      <c r="B207" s="206" t="s">
        <v>1634</v>
      </c>
      <c r="C207" s="184" t="str">
        <f t="shared" ref="C207:C213" si="10">"RES"</f>
        <v>RES</v>
      </c>
      <c r="D207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11KOhm 0.1W 1% 0603 AECQ</v>
      </c>
      <c r="E207" s="187" t="s">
        <v>1637</v>
      </c>
      <c r="F207" s="224" t="s">
        <v>459</v>
      </c>
      <c r="G207" s="225" t="s">
        <v>13</v>
      </c>
      <c r="H207" s="201" t="s">
        <v>20</v>
      </c>
      <c r="I207" s="201" t="s">
        <v>1636</v>
      </c>
      <c r="J207" s="209" t="s">
        <v>36</v>
      </c>
      <c r="K207" s="210" t="s">
        <v>11</v>
      </c>
      <c r="L207" s="210" t="s">
        <v>10</v>
      </c>
      <c r="M207" s="201" t="s">
        <v>44</v>
      </c>
      <c r="N207" s="185" t="str">
        <f>Resistors[[#This Row],[Footprint]]</f>
        <v>RES-0603</v>
      </c>
    </row>
    <row r="208" spans="1:15" x14ac:dyDescent="0.25">
      <c r="A208" s="183">
        <f t="shared" si="8"/>
        <v>207</v>
      </c>
      <c r="B208" s="206" t="s">
        <v>1639</v>
      </c>
      <c r="C208" s="184" t="str">
        <f t="shared" si="10"/>
        <v>RES</v>
      </c>
      <c r="D208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30KOhm 0.1W 1% 0603 AECQ</v>
      </c>
      <c r="E208" s="187" t="s">
        <v>1640</v>
      </c>
      <c r="F208" s="224" t="s">
        <v>459</v>
      </c>
      <c r="G208" s="225" t="s">
        <v>13</v>
      </c>
      <c r="H208" s="201" t="s">
        <v>20</v>
      </c>
      <c r="I208" s="201" t="s">
        <v>1638</v>
      </c>
      <c r="J208" s="209" t="s">
        <v>9</v>
      </c>
      <c r="K208" s="210" t="s">
        <v>11</v>
      </c>
      <c r="L208" s="210" t="s">
        <v>10</v>
      </c>
      <c r="M208" s="201" t="s">
        <v>44</v>
      </c>
      <c r="N208" s="185" t="str">
        <f>Resistors[[#This Row],[Footprint]]</f>
        <v>RES-0603</v>
      </c>
    </row>
    <row r="209" spans="1:14" x14ac:dyDescent="0.25">
      <c r="A209" s="183">
        <f t="shared" si="8"/>
        <v>208</v>
      </c>
      <c r="B209" s="251" t="s">
        <v>1641</v>
      </c>
      <c r="C209" s="184" t="str">
        <f t="shared" si="10"/>
        <v>RES</v>
      </c>
      <c r="D209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6.2KOhm 0.1W 1% 0603 AECQ</v>
      </c>
      <c r="E209" s="198" t="s">
        <v>1643</v>
      </c>
      <c r="F209" s="187" t="s">
        <v>459</v>
      </c>
      <c r="G209" s="237" t="s">
        <v>13</v>
      </c>
      <c r="H209" s="201" t="s">
        <v>20</v>
      </c>
      <c r="I209" s="201" t="s">
        <v>1642</v>
      </c>
      <c r="J209" s="209" t="s">
        <v>36</v>
      </c>
      <c r="K209" s="210" t="s">
        <v>11</v>
      </c>
      <c r="L209" s="210" t="s">
        <v>10</v>
      </c>
      <c r="M209" s="187" t="s">
        <v>44</v>
      </c>
      <c r="N209" s="185" t="str">
        <f>Resistors[[#This Row],[Footprint]]</f>
        <v>RES-0603</v>
      </c>
    </row>
    <row r="210" spans="1:14" x14ac:dyDescent="0.25">
      <c r="A210" s="183">
        <f t="shared" si="8"/>
        <v>209</v>
      </c>
      <c r="B210" s="206" t="s">
        <v>1756</v>
      </c>
      <c r="C210" s="184" t="str">
        <f t="shared" si="10"/>
        <v>RES</v>
      </c>
      <c r="D210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150Ohm 0.5W 1% 1210 AECQ</v>
      </c>
      <c r="E210" s="198" t="s">
        <v>423</v>
      </c>
      <c r="F210" s="187" t="s">
        <v>66</v>
      </c>
      <c r="G210" s="237" t="s">
        <v>13</v>
      </c>
      <c r="H210" s="201" t="s">
        <v>22</v>
      </c>
      <c r="I210" s="201" t="s">
        <v>1757</v>
      </c>
      <c r="J210" s="209" t="s">
        <v>36</v>
      </c>
      <c r="K210" s="210" t="s">
        <v>11</v>
      </c>
      <c r="L210" s="210" t="s">
        <v>10</v>
      </c>
      <c r="M210" s="187" t="s">
        <v>44</v>
      </c>
      <c r="N210" s="185" t="str">
        <f>Resistors[[#This Row],[Footprint]]</f>
        <v>RES-1210</v>
      </c>
    </row>
    <row r="211" spans="1:14" x14ac:dyDescent="0.25">
      <c r="A211" s="183">
        <f t="shared" si="8"/>
        <v>210</v>
      </c>
      <c r="B211" s="206" t="s">
        <v>1759</v>
      </c>
      <c r="C211" s="184" t="str">
        <f t="shared" si="10"/>
        <v>RES</v>
      </c>
      <c r="D211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>RES 200Ohm 0.5W 1% 1210 AECQ</v>
      </c>
      <c r="E211" s="198" t="s">
        <v>436</v>
      </c>
      <c r="F211" s="187" t="s">
        <v>66</v>
      </c>
      <c r="G211" s="237" t="s">
        <v>13</v>
      </c>
      <c r="H211" s="201" t="s">
        <v>22</v>
      </c>
      <c r="I211" s="201" t="s">
        <v>1758</v>
      </c>
      <c r="J211" s="209" t="s">
        <v>36</v>
      </c>
      <c r="K211" s="210" t="s">
        <v>11</v>
      </c>
      <c r="L211" s="210" t="s">
        <v>10</v>
      </c>
      <c r="M211" s="187" t="s">
        <v>44</v>
      </c>
      <c r="N211" s="185" t="str">
        <f>Resistors[[#This Row],[Footprint]]</f>
        <v>RES-1210</v>
      </c>
    </row>
    <row r="212" spans="1:14" x14ac:dyDescent="0.25">
      <c r="B212" s="210"/>
      <c r="C212" s="184" t="str">
        <f t="shared" si="10"/>
        <v>RES</v>
      </c>
      <c r="D212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212" s="198"/>
      <c r="F212" s="187"/>
      <c r="G212" s="237"/>
      <c r="H212" s="201"/>
      <c r="I212" s="201"/>
      <c r="J212" s="209"/>
      <c r="K212" s="210"/>
      <c r="L212" s="210"/>
      <c r="M212" s="187"/>
      <c r="N212" s="185">
        <f>Resistors[[#This Row],[Footprint]]</f>
        <v>0</v>
      </c>
    </row>
    <row r="213" spans="1:14" x14ac:dyDescent="0.25">
      <c r="B213" s="210"/>
      <c r="C213" s="184" t="str">
        <f t="shared" si="10"/>
        <v>RES</v>
      </c>
      <c r="D213" s="185" t="str">
        <f>CONCATENATE(Resistors[[#This Row],[Category]]," ",Resistors[[#This Row],[Resistance(Ohm)]]," ",Resistors[[#This Row],[Power(W)]]," ",Resistors[[#This Row],[Tolerance(%)]]," ",SUBSTITUTE(Resistors[[#This Row],[Footprint]], "RES-", "")," ",Resistors[[#This Row],[Rating]])</f>
        <v xml:space="preserve">RES     </v>
      </c>
      <c r="E213" s="198"/>
      <c r="F213" s="187"/>
      <c r="G213" s="237"/>
      <c r="H213" s="201"/>
      <c r="I213" s="201"/>
      <c r="J213" s="209"/>
      <c r="K213" s="210"/>
      <c r="L213" s="210"/>
      <c r="M213" s="187"/>
      <c r="N213" s="185">
        <f>Resistors[[#This Row],[Footprint]]</f>
        <v>0</v>
      </c>
    </row>
  </sheetData>
  <sheetProtection insertRows="0" deleteRows="0" sort="0" autoFilter="0"/>
  <dataConsolidate/>
  <conditionalFormatting sqref="I168:I206">
    <cfRule type="cellIs" dxfId="319" priority="2" operator="equal">
      <formula>0</formula>
    </cfRule>
  </conditionalFormatting>
  <conditionalFormatting sqref="I168:I206">
    <cfRule type="cellIs" dxfId="318" priority="1" operator="equal">
      <formula>0</formula>
    </cfRule>
  </conditionalFormatting>
  <dataValidations xWindow="1169" yWindow="282" count="6">
    <dataValidation allowBlank="1" showInputMessage="1" showErrorMessage="1" errorTitle="Warning" error="This PN has already defined before!" sqref="A1:O1"/>
    <dataValidation type="list" allowBlank="1" showInputMessage="1" showErrorMessage="1" sqref="J2:J213">
      <formula1>Manufacturers_Resistors</formula1>
    </dataValidation>
    <dataValidation type="list" allowBlank="1" showInputMessage="1" showErrorMessage="1" sqref="M2:M213">
      <formula1>Symbols_Resistors</formula1>
    </dataValidation>
    <dataValidation type="list" allowBlank="1" showInputMessage="1" showErrorMessage="1" sqref="H2:H213">
      <formula1>Footprints_Resistors</formula1>
    </dataValidation>
    <dataValidation type="list" allowBlank="1" showInputMessage="1" showErrorMessage="1" sqref="K2:K213">
      <formula1>Rating_List</formula1>
    </dataValidation>
    <dataValidation type="custom" allowBlank="1" showInputMessage="1" showErrorMessage="1" errorTitle="Warning" error="This PN has already defined before!" sqref="G209:G1048576">
      <formula1>COUNTIF(G:G,G209)=1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69" yWindow="282" count="1">
        <x14:dataValidation type="list" allowBlank="1" showInputMessage="1" showErrorMessage="1">
          <x14:formula1>
            <xm:f>'Rating&amp;Process List'!$C$3:$C$4</xm:f>
          </x14:formula1>
          <xm:sqref>L2:L213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311"/>
  <sheetViews>
    <sheetView topLeftCell="A76" zoomScaleNormal="100" workbookViewId="0">
      <selection activeCell="E101" sqref="E101"/>
    </sheetView>
  </sheetViews>
  <sheetFormatPr defaultRowHeight="15" x14ac:dyDescent="0.25"/>
  <cols>
    <col min="1" max="1" width="7.28515625" style="47" bestFit="1" customWidth="1"/>
    <col min="2" max="3" width="15.28515625" bestFit="1" customWidth="1"/>
    <col min="4" max="4" width="41.85546875" bestFit="1" customWidth="1"/>
    <col min="5" max="5" width="16.42578125" bestFit="1" customWidth="1"/>
    <col min="6" max="6" width="12.85546875" bestFit="1" customWidth="1"/>
    <col min="7" max="7" width="15" bestFit="1" customWidth="1"/>
    <col min="8" max="8" width="25.5703125" bestFit="1" customWidth="1"/>
    <col min="9" max="9" width="15.140625" style="45" bestFit="1" customWidth="1"/>
    <col min="10" max="10" width="11.5703125" bestFit="1" customWidth="1"/>
    <col min="11" max="11" width="27.5703125" customWidth="1"/>
    <col min="12" max="12" width="15.5703125" bestFit="1" customWidth="1"/>
    <col min="13" max="13" width="10.7109375" bestFit="1" customWidth="1"/>
    <col min="14" max="14" width="10" bestFit="1" customWidth="1"/>
    <col min="15" max="15" width="16.42578125" bestFit="1" customWidth="1"/>
    <col min="16" max="16" width="15" bestFit="1" customWidth="1"/>
    <col min="17" max="17" width="51.28515625" style="122" bestFit="1" customWidth="1"/>
  </cols>
  <sheetData>
    <row r="1" spans="1:17" s="46" customFormat="1" x14ac:dyDescent="0.25">
      <c r="A1" s="47" t="s">
        <v>0</v>
      </c>
      <c r="B1" s="16" t="s">
        <v>67</v>
      </c>
      <c r="C1" s="47" t="s">
        <v>7</v>
      </c>
      <c r="D1" s="47" t="s">
        <v>8</v>
      </c>
      <c r="E1" s="29" t="s">
        <v>1567</v>
      </c>
      <c r="F1" s="16" t="s">
        <v>1568</v>
      </c>
      <c r="G1" s="29" t="s">
        <v>1566</v>
      </c>
      <c r="H1" s="93" t="s">
        <v>1010</v>
      </c>
      <c r="I1" s="16" t="s">
        <v>909</v>
      </c>
      <c r="J1" s="16" t="s">
        <v>18</v>
      </c>
      <c r="K1" s="16" t="s">
        <v>2</v>
      </c>
      <c r="L1" s="16" t="s">
        <v>1</v>
      </c>
      <c r="M1" s="16" t="s">
        <v>6</v>
      </c>
      <c r="N1" s="16" t="s">
        <v>5</v>
      </c>
      <c r="O1" s="16" t="s">
        <v>3</v>
      </c>
      <c r="P1" s="47" t="s">
        <v>4</v>
      </c>
      <c r="Q1" s="121"/>
    </row>
    <row r="2" spans="1:17" x14ac:dyDescent="0.25">
      <c r="A2" s="94">
        <f t="shared" ref="A2:A65" si="0">ROW()-1</f>
        <v>1</v>
      </c>
      <c r="B2" s="14" t="s">
        <v>720</v>
      </c>
      <c r="C2" s="46" t="str">
        <f>"CAP"</f>
        <v>CAP</v>
      </c>
      <c r="D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0603 AECQ</v>
      </c>
      <c r="E2" s="47" t="s">
        <v>881</v>
      </c>
      <c r="F2" s="47" t="s">
        <v>51</v>
      </c>
      <c r="G2" s="10" t="s">
        <v>55</v>
      </c>
      <c r="H2" s="8" t="s">
        <v>54</v>
      </c>
      <c r="I2" s="163" t="s">
        <v>882</v>
      </c>
      <c r="J2" s="45" t="s">
        <v>46</v>
      </c>
      <c r="K2" s="45" t="s">
        <v>910</v>
      </c>
      <c r="L2" s="45" t="s">
        <v>36</v>
      </c>
      <c r="M2" s="5" t="s">
        <v>11</v>
      </c>
      <c r="N2" s="5" t="s">
        <v>10</v>
      </c>
      <c r="O2" s="45" t="s">
        <v>45</v>
      </c>
      <c r="P2" s="3" t="str">
        <f>Capacitors[[#This Row],[Footprint]]</f>
        <v>CAP-0603</v>
      </c>
    </row>
    <row r="3" spans="1:17" x14ac:dyDescent="0.25">
      <c r="A3" s="94">
        <f t="shared" si="0"/>
        <v>2</v>
      </c>
      <c r="B3" s="14" t="s">
        <v>720</v>
      </c>
      <c r="C3" s="174" t="str">
        <f t="shared" ref="C3:C66" si="1">"CAP"</f>
        <v>CAP</v>
      </c>
      <c r="D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0603 AECQ</v>
      </c>
      <c r="E3" s="47" t="s">
        <v>881</v>
      </c>
      <c r="F3" s="47" t="s">
        <v>51</v>
      </c>
      <c r="G3" s="10" t="s">
        <v>55</v>
      </c>
      <c r="H3" s="8" t="s">
        <v>54</v>
      </c>
      <c r="I3" s="163" t="s">
        <v>883</v>
      </c>
      <c r="J3" s="45" t="s">
        <v>46</v>
      </c>
      <c r="K3" s="45" t="s">
        <v>911</v>
      </c>
      <c r="L3" s="45" t="s">
        <v>36</v>
      </c>
      <c r="M3" s="5" t="s">
        <v>11</v>
      </c>
      <c r="N3" s="5" t="s">
        <v>10</v>
      </c>
      <c r="O3" s="45" t="s">
        <v>45</v>
      </c>
      <c r="P3" s="3" t="str">
        <f>Capacitors[[#This Row],[Footprint]]</f>
        <v>CAP-0603</v>
      </c>
    </row>
    <row r="4" spans="1:17" x14ac:dyDescent="0.25">
      <c r="A4" s="94">
        <f t="shared" si="0"/>
        <v>3</v>
      </c>
      <c r="B4" s="14" t="s">
        <v>720</v>
      </c>
      <c r="C4" s="174" t="str">
        <f t="shared" si="1"/>
        <v>CAP</v>
      </c>
      <c r="D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0603 AECQ</v>
      </c>
      <c r="E4" s="47" t="s">
        <v>881</v>
      </c>
      <c r="F4" s="47" t="s">
        <v>51</v>
      </c>
      <c r="G4" s="10" t="s">
        <v>55</v>
      </c>
      <c r="H4" s="8" t="s">
        <v>54</v>
      </c>
      <c r="I4" s="163" t="s">
        <v>883</v>
      </c>
      <c r="J4" s="3" t="s">
        <v>46</v>
      </c>
      <c r="K4" s="45" t="s">
        <v>1278</v>
      </c>
      <c r="L4" s="47" t="s">
        <v>32</v>
      </c>
      <c r="M4" s="5" t="s">
        <v>11</v>
      </c>
      <c r="N4" s="5" t="s">
        <v>10</v>
      </c>
      <c r="O4" s="45" t="s">
        <v>45</v>
      </c>
      <c r="P4" s="3" t="str">
        <f>Capacitors[[#This Row],[Footprint]]</f>
        <v>CAP-0603</v>
      </c>
    </row>
    <row r="5" spans="1:17" x14ac:dyDescent="0.25">
      <c r="A5" s="94">
        <f t="shared" si="0"/>
        <v>4</v>
      </c>
      <c r="B5" s="14" t="s">
        <v>720</v>
      </c>
      <c r="C5" s="174" t="str">
        <f t="shared" si="1"/>
        <v>CAP</v>
      </c>
      <c r="D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ST 0603 AECQ</v>
      </c>
      <c r="E5" s="45" t="s">
        <v>881</v>
      </c>
      <c r="F5" s="45" t="s">
        <v>51</v>
      </c>
      <c r="G5" s="10" t="s">
        <v>55</v>
      </c>
      <c r="H5" s="8" t="s">
        <v>54</v>
      </c>
      <c r="I5" s="163" t="s">
        <v>884</v>
      </c>
      <c r="J5" s="45" t="s">
        <v>46</v>
      </c>
      <c r="K5" s="45" t="s">
        <v>1279</v>
      </c>
      <c r="L5" s="45" t="s">
        <v>56</v>
      </c>
      <c r="M5" s="46" t="s">
        <v>11</v>
      </c>
      <c r="N5" s="46" t="s">
        <v>10</v>
      </c>
      <c r="O5" s="45" t="s">
        <v>45</v>
      </c>
      <c r="P5" s="3" t="str">
        <f>Capacitors[[#This Row],[Footprint]]</f>
        <v>CAP-0603</v>
      </c>
    </row>
    <row r="6" spans="1:17" x14ac:dyDescent="0.25">
      <c r="A6" s="95">
        <f t="shared" si="0"/>
        <v>5</v>
      </c>
      <c r="B6" s="50" t="s">
        <v>721</v>
      </c>
      <c r="C6" s="174" t="str">
        <f t="shared" si="1"/>
        <v>CAP</v>
      </c>
      <c r="D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OM 0805 AECQ</v>
      </c>
      <c r="E6" s="45" t="s">
        <v>59</v>
      </c>
      <c r="F6" s="45" t="s">
        <v>51</v>
      </c>
      <c r="G6" s="64" t="s">
        <v>55</v>
      </c>
      <c r="H6" s="49" t="s">
        <v>54</v>
      </c>
      <c r="I6" s="49" t="s">
        <v>883</v>
      </c>
      <c r="J6" s="45" t="s">
        <v>49</v>
      </c>
      <c r="K6" s="45" t="s">
        <v>912</v>
      </c>
      <c r="L6" s="45" t="s">
        <v>913</v>
      </c>
      <c r="M6" s="5" t="s">
        <v>11</v>
      </c>
      <c r="N6" s="46" t="s">
        <v>10</v>
      </c>
      <c r="O6" s="45" t="s">
        <v>45</v>
      </c>
      <c r="P6" s="3" t="str">
        <f>Capacitors[[#This Row],[Footprint]]</f>
        <v>CAP-0805</v>
      </c>
    </row>
    <row r="7" spans="1:17" x14ac:dyDescent="0.25">
      <c r="A7" s="95">
        <f t="shared" si="0"/>
        <v>6</v>
      </c>
      <c r="B7" s="50" t="s">
        <v>721</v>
      </c>
      <c r="C7" s="174" t="str">
        <f t="shared" si="1"/>
        <v>CAP</v>
      </c>
      <c r="D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ST 0805 AECQ</v>
      </c>
      <c r="E7" s="45" t="s">
        <v>59</v>
      </c>
      <c r="F7" s="45" t="s">
        <v>51</v>
      </c>
      <c r="G7" s="64" t="s">
        <v>55</v>
      </c>
      <c r="H7" s="49" t="s">
        <v>54</v>
      </c>
      <c r="I7" s="49" t="s">
        <v>884</v>
      </c>
      <c r="J7" s="45" t="s">
        <v>49</v>
      </c>
      <c r="K7" s="45" t="s">
        <v>1280</v>
      </c>
      <c r="L7" s="45" t="s">
        <v>53</v>
      </c>
      <c r="M7" s="5" t="s">
        <v>11</v>
      </c>
      <c r="N7" s="46" t="s">
        <v>10</v>
      </c>
      <c r="O7" s="45" t="s">
        <v>45</v>
      </c>
      <c r="P7" s="3" t="str">
        <f>Capacitors[[#This Row],[Footprint]]</f>
        <v>CAP-0805</v>
      </c>
    </row>
    <row r="8" spans="1:17" x14ac:dyDescent="0.25">
      <c r="A8" s="95">
        <f t="shared" si="0"/>
        <v>7</v>
      </c>
      <c r="B8" s="50" t="s">
        <v>721</v>
      </c>
      <c r="C8" s="174" t="str">
        <f t="shared" si="1"/>
        <v>CAP</v>
      </c>
      <c r="D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OM 0805 AECQ</v>
      </c>
      <c r="E8" s="45" t="s">
        <v>59</v>
      </c>
      <c r="F8" s="45" t="s">
        <v>51</v>
      </c>
      <c r="G8" s="64" t="s">
        <v>55</v>
      </c>
      <c r="H8" s="49" t="s">
        <v>54</v>
      </c>
      <c r="I8" s="49" t="s">
        <v>883</v>
      </c>
      <c r="J8" s="45" t="s">
        <v>49</v>
      </c>
      <c r="K8" s="79" t="s">
        <v>1281</v>
      </c>
      <c r="L8" s="45" t="s">
        <v>53</v>
      </c>
      <c r="M8" s="5" t="s">
        <v>11</v>
      </c>
      <c r="N8" s="46" t="s">
        <v>10</v>
      </c>
      <c r="O8" s="45" t="s">
        <v>45</v>
      </c>
      <c r="P8" s="3" t="str">
        <f>Capacitors[[#This Row],[Footprint]]</f>
        <v>CAP-0805</v>
      </c>
    </row>
    <row r="9" spans="1:17" x14ac:dyDescent="0.25">
      <c r="A9" s="95">
        <f t="shared" si="0"/>
        <v>8</v>
      </c>
      <c r="B9" s="50" t="s">
        <v>721</v>
      </c>
      <c r="C9" s="174" t="str">
        <f t="shared" si="1"/>
        <v>CAP</v>
      </c>
      <c r="D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OM 0805 AECQ</v>
      </c>
      <c r="E9" s="45" t="s">
        <v>59</v>
      </c>
      <c r="F9" s="45" t="s">
        <v>51</v>
      </c>
      <c r="G9" s="64" t="s">
        <v>55</v>
      </c>
      <c r="H9" s="49" t="s">
        <v>54</v>
      </c>
      <c r="I9" s="49" t="s">
        <v>883</v>
      </c>
      <c r="J9" s="45" t="s">
        <v>49</v>
      </c>
      <c r="K9" s="45" t="s">
        <v>1282</v>
      </c>
      <c r="L9" s="45" t="s">
        <v>32</v>
      </c>
      <c r="M9" s="5" t="s">
        <v>11</v>
      </c>
      <c r="N9" s="46" t="s">
        <v>10</v>
      </c>
      <c r="O9" s="45" t="s">
        <v>45</v>
      </c>
      <c r="P9" s="3" t="str">
        <f>Capacitors[[#This Row],[Footprint]]</f>
        <v>CAP-0805</v>
      </c>
    </row>
    <row r="10" spans="1:17" x14ac:dyDescent="0.25">
      <c r="A10" s="95">
        <f t="shared" si="0"/>
        <v>9</v>
      </c>
      <c r="B10" s="50" t="s">
        <v>721</v>
      </c>
      <c r="C10" s="174" t="str">
        <f t="shared" si="1"/>
        <v>CAP</v>
      </c>
      <c r="D1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ST 0805 AECQ</v>
      </c>
      <c r="E10" s="45" t="s">
        <v>59</v>
      </c>
      <c r="F10" s="45" t="s">
        <v>51</v>
      </c>
      <c r="G10" s="64" t="s">
        <v>55</v>
      </c>
      <c r="H10" s="49" t="s">
        <v>54</v>
      </c>
      <c r="I10" s="49" t="s">
        <v>884</v>
      </c>
      <c r="J10" s="45" t="s">
        <v>49</v>
      </c>
      <c r="K10" s="45" t="s">
        <v>1283</v>
      </c>
      <c r="L10" s="45" t="s">
        <v>56</v>
      </c>
      <c r="M10" s="5" t="s">
        <v>11</v>
      </c>
      <c r="N10" s="46" t="s">
        <v>10</v>
      </c>
      <c r="O10" s="45" t="s">
        <v>45</v>
      </c>
      <c r="P10" s="3" t="str">
        <f>Capacitors[[#This Row],[Footprint]]</f>
        <v>CAP-0805</v>
      </c>
    </row>
    <row r="11" spans="1:17" x14ac:dyDescent="0.25">
      <c r="A11" s="95">
        <f t="shared" si="0"/>
        <v>10</v>
      </c>
      <c r="B11" s="50" t="s">
        <v>721</v>
      </c>
      <c r="C11" s="174" t="str">
        <f t="shared" si="1"/>
        <v>CAP</v>
      </c>
      <c r="D1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ST 0805 AECQ</v>
      </c>
      <c r="E11" s="45" t="s">
        <v>59</v>
      </c>
      <c r="F11" s="45" t="s">
        <v>51</v>
      </c>
      <c r="G11" s="64" t="s">
        <v>55</v>
      </c>
      <c r="H11" s="49" t="s">
        <v>54</v>
      </c>
      <c r="I11" s="49" t="s">
        <v>884</v>
      </c>
      <c r="J11" s="45" t="s">
        <v>49</v>
      </c>
      <c r="K11" s="45" t="s">
        <v>1284</v>
      </c>
      <c r="L11" s="45" t="s">
        <v>37</v>
      </c>
      <c r="M11" s="5" t="s">
        <v>11</v>
      </c>
      <c r="N11" s="46" t="s">
        <v>10</v>
      </c>
      <c r="O11" s="45" t="s">
        <v>45</v>
      </c>
      <c r="P11" s="3" t="str">
        <f>Capacitors[[#This Row],[Footprint]]</f>
        <v>CAP-0805</v>
      </c>
    </row>
    <row r="12" spans="1:17" x14ac:dyDescent="0.25">
      <c r="A12" s="95">
        <f t="shared" si="0"/>
        <v>11</v>
      </c>
      <c r="B12" s="14" t="s">
        <v>722</v>
      </c>
      <c r="C12" s="174" t="str">
        <f t="shared" si="1"/>
        <v>CAP</v>
      </c>
      <c r="D1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12" s="45" t="s">
        <v>885</v>
      </c>
      <c r="F12" s="45" t="s">
        <v>51</v>
      </c>
      <c r="G12" s="64" t="s">
        <v>55</v>
      </c>
      <c r="H12" s="49" t="s">
        <v>54</v>
      </c>
      <c r="I12" s="66" t="s">
        <v>882</v>
      </c>
      <c r="J12" s="45" t="s">
        <v>49</v>
      </c>
      <c r="K12" s="45" t="s">
        <v>1285</v>
      </c>
      <c r="L12" s="45" t="s">
        <v>32</v>
      </c>
      <c r="M12" s="5" t="s">
        <v>11</v>
      </c>
      <c r="N12" s="46" t="s">
        <v>10</v>
      </c>
      <c r="O12" s="45" t="s">
        <v>45</v>
      </c>
      <c r="P12" s="3" t="str">
        <f>Capacitors[[#This Row],[Footprint]]</f>
        <v>CAP-0805</v>
      </c>
    </row>
    <row r="13" spans="1:17" x14ac:dyDescent="0.25">
      <c r="A13" s="95">
        <f t="shared" si="0"/>
        <v>12</v>
      </c>
      <c r="B13" s="14" t="s">
        <v>722</v>
      </c>
      <c r="C13" s="174" t="str">
        <f t="shared" si="1"/>
        <v>CAP</v>
      </c>
      <c r="D1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13" s="45" t="s">
        <v>885</v>
      </c>
      <c r="F13" s="45" t="s">
        <v>51</v>
      </c>
      <c r="G13" s="64" t="s">
        <v>55</v>
      </c>
      <c r="H13" s="49" t="s">
        <v>54</v>
      </c>
      <c r="I13" s="66" t="s">
        <v>882</v>
      </c>
      <c r="J13" s="45" t="s">
        <v>49</v>
      </c>
      <c r="K13" s="45" t="s">
        <v>1286</v>
      </c>
      <c r="L13" s="45" t="s">
        <v>32</v>
      </c>
      <c r="M13" s="5" t="s">
        <v>11</v>
      </c>
      <c r="N13" s="46" t="s">
        <v>10</v>
      </c>
      <c r="O13" s="45" t="s">
        <v>45</v>
      </c>
      <c r="P13" s="3" t="str">
        <f>Capacitors[[#This Row],[Footprint]]</f>
        <v>CAP-0805</v>
      </c>
    </row>
    <row r="14" spans="1:17" x14ac:dyDescent="0.25">
      <c r="A14" s="95">
        <f t="shared" si="0"/>
        <v>13</v>
      </c>
      <c r="B14" s="14" t="s">
        <v>722</v>
      </c>
      <c r="C14" s="174" t="str">
        <f t="shared" si="1"/>
        <v>CAP</v>
      </c>
      <c r="D1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14" s="45" t="s">
        <v>885</v>
      </c>
      <c r="F14" s="45" t="s">
        <v>51</v>
      </c>
      <c r="G14" s="64" t="s">
        <v>55</v>
      </c>
      <c r="H14" s="49" t="s">
        <v>54</v>
      </c>
      <c r="I14" s="66" t="s">
        <v>882</v>
      </c>
      <c r="J14" s="45" t="s">
        <v>49</v>
      </c>
      <c r="K14" s="80" t="s">
        <v>1287</v>
      </c>
      <c r="L14" s="45" t="s">
        <v>32</v>
      </c>
      <c r="M14" s="5" t="s">
        <v>11</v>
      </c>
      <c r="N14" s="46" t="s">
        <v>10</v>
      </c>
      <c r="O14" s="45" t="s">
        <v>45</v>
      </c>
      <c r="P14" s="3" t="str">
        <f>Capacitors[[#This Row],[Footprint]]</f>
        <v>CAP-0805</v>
      </c>
    </row>
    <row r="15" spans="1:17" x14ac:dyDescent="0.25">
      <c r="A15" s="95">
        <f t="shared" si="0"/>
        <v>14</v>
      </c>
      <c r="B15" s="14" t="s">
        <v>722</v>
      </c>
      <c r="C15" s="174" t="str">
        <f t="shared" si="1"/>
        <v>CAP</v>
      </c>
      <c r="D1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ST 0805 AECQ</v>
      </c>
      <c r="E15" s="45" t="s">
        <v>885</v>
      </c>
      <c r="F15" s="45" t="s">
        <v>51</v>
      </c>
      <c r="G15" s="64" t="s">
        <v>55</v>
      </c>
      <c r="H15" s="49" t="s">
        <v>54</v>
      </c>
      <c r="I15" s="66" t="s">
        <v>884</v>
      </c>
      <c r="J15" s="45" t="s">
        <v>49</v>
      </c>
      <c r="K15" s="80" t="s">
        <v>1288</v>
      </c>
      <c r="L15" s="45" t="s">
        <v>56</v>
      </c>
      <c r="M15" s="5" t="s">
        <v>11</v>
      </c>
      <c r="N15" s="46" t="s">
        <v>10</v>
      </c>
      <c r="O15" s="45" t="s">
        <v>45</v>
      </c>
      <c r="P15" s="3" t="str">
        <f>Capacitors[[#This Row],[Footprint]]</f>
        <v>CAP-0805</v>
      </c>
    </row>
    <row r="16" spans="1:17" x14ac:dyDescent="0.25">
      <c r="A16" s="95">
        <f t="shared" si="0"/>
        <v>15</v>
      </c>
      <c r="B16" s="14" t="s">
        <v>722</v>
      </c>
      <c r="C16" s="174" t="str">
        <f t="shared" si="1"/>
        <v>CAP</v>
      </c>
      <c r="D1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16" s="45" t="s">
        <v>885</v>
      </c>
      <c r="F16" s="45" t="s">
        <v>51</v>
      </c>
      <c r="G16" s="64" t="s">
        <v>55</v>
      </c>
      <c r="H16" s="49" t="s">
        <v>54</v>
      </c>
      <c r="I16" s="66" t="s">
        <v>882</v>
      </c>
      <c r="J16" s="45" t="s">
        <v>49</v>
      </c>
      <c r="K16" s="45" t="s">
        <v>1289</v>
      </c>
      <c r="L16" s="45" t="s">
        <v>56</v>
      </c>
      <c r="M16" s="5" t="s">
        <v>11</v>
      </c>
      <c r="N16" s="46" t="s">
        <v>10</v>
      </c>
      <c r="O16" s="45" t="s">
        <v>45</v>
      </c>
      <c r="P16" s="3" t="str">
        <f>Capacitors[[#This Row],[Footprint]]</f>
        <v>CAP-0805</v>
      </c>
    </row>
    <row r="17" spans="1:17" x14ac:dyDescent="0.25">
      <c r="A17" s="95">
        <f t="shared" si="0"/>
        <v>16</v>
      </c>
      <c r="B17" s="119" t="s">
        <v>723</v>
      </c>
      <c r="C17" s="174" t="str">
        <f t="shared" si="1"/>
        <v>CAP</v>
      </c>
      <c r="D1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X7S ST 0603 AECQ</v>
      </c>
      <c r="E17" s="67" t="s">
        <v>59</v>
      </c>
      <c r="F17" s="67" t="s">
        <v>57</v>
      </c>
      <c r="G17" s="68" t="s">
        <v>55</v>
      </c>
      <c r="H17" s="77" t="s">
        <v>886</v>
      </c>
      <c r="I17" s="69" t="s">
        <v>884</v>
      </c>
      <c r="J17" s="120" t="s">
        <v>46</v>
      </c>
      <c r="K17" s="67" t="s">
        <v>1290</v>
      </c>
      <c r="L17" s="67" t="s">
        <v>53</v>
      </c>
      <c r="M17" s="60" t="s">
        <v>11</v>
      </c>
      <c r="N17" s="81" t="s">
        <v>10</v>
      </c>
      <c r="O17" s="67" t="s">
        <v>45</v>
      </c>
      <c r="P17" s="3" t="str">
        <f>Capacitors[[#This Row],[Footprint]]</f>
        <v>CAP-0603</v>
      </c>
    </row>
    <row r="18" spans="1:17" x14ac:dyDescent="0.25">
      <c r="A18" s="95">
        <f t="shared" si="0"/>
        <v>17</v>
      </c>
      <c r="B18" s="119" t="s">
        <v>723</v>
      </c>
      <c r="C18" s="174" t="str">
        <f t="shared" si="1"/>
        <v>CAP</v>
      </c>
      <c r="D1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0805 AECQ</v>
      </c>
      <c r="E18" s="45" t="s">
        <v>59</v>
      </c>
      <c r="F18" s="45" t="s">
        <v>57</v>
      </c>
      <c r="G18" s="64" t="s">
        <v>55</v>
      </c>
      <c r="H18" s="77" t="s">
        <v>54</v>
      </c>
      <c r="I18" s="49" t="s">
        <v>884</v>
      </c>
      <c r="J18" s="45" t="s">
        <v>49</v>
      </c>
      <c r="K18" s="45" t="s">
        <v>914</v>
      </c>
      <c r="L18" s="45" t="s">
        <v>53</v>
      </c>
      <c r="M18" s="5" t="s">
        <v>11</v>
      </c>
      <c r="N18" s="46" t="s">
        <v>10</v>
      </c>
      <c r="O18" s="45" t="s">
        <v>45</v>
      </c>
      <c r="P18" s="3" t="str">
        <f>Capacitors[[#This Row],[Footprint]]</f>
        <v>CAP-0805</v>
      </c>
    </row>
    <row r="19" spans="1:17" x14ac:dyDescent="0.25">
      <c r="A19" s="95">
        <f t="shared" si="0"/>
        <v>18</v>
      </c>
      <c r="B19" s="119" t="s">
        <v>723</v>
      </c>
      <c r="C19" s="174" t="str">
        <f t="shared" si="1"/>
        <v>CAP</v>
      </c>
      <c r="D1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OM 0805 AECQ</v>
      </c>
      <c r="E19" s="67" t="s">
        <v>59</v>
      </c>
      <c r="F19" s="67" t="s">
        <v>57</v>
      </c>
      <c r="G19" s="68" t="s">
        <v>55</v>
      </c>
      <c r="H19" s="77" t="s">
        <v>54</v>
      </c>
      <c r="I19" s="69" t="s">
        <v>883</v>
      </c>
      <c r="J19" s="67" t="s">
        <v>49</v>
      </c>
      <c r="K19" s="67" t="s">
        <v>1291</v>
      </c>
      <c r="L19" s="67" t="s">
        <v>32</v>
      </c>
      <c r="M19" s="60" t="s">
        <v>11</v>
      </c>
      <c r="N19" s="81" t="s">
        <v>10</v>
      </c>
      <c r="O19" s="45" t="s">
        <v>45</v>
      </c>
      <c r="P19" s="3" t="str">
        <f>Capacitors[[#This Row],[Footprint]]</f>
        <v>CAP-0805</v>
      </c>
    </row>
    <row r="20" spans="1:17" x14ac:dyDescent="0.25">
      <c r="A20" s="95">
        <f t="shared" si="0"/>
        <v>19</v>
      </c>
      <c r="B20" s="119" t="s">
        <v>723</v>
      </c>
      <c r="C20" s="174" t="str">
        <f t="shared" si="1"/>
        <v>CAP</v>
      </c>
      <c r="D2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0805 AECQ</v>
      </c>
      <c r="E20" s="67" t="s">
        <v>59</v>
      </c>
      <c r="F20" s="67" t="s">
        <v>57</v>
      </c>
      <c r="G20" s="68" t="s">
        <v>55</v>
      </c>
      <c r="H20" s="77" t="s">
        <v>54</v>
      </c>
      <c r="I20" s="69" t="s">
        <v>884</v>
      </c>
      <c r="J20" s="67" t="s">
        <v>49</v>
      </c>
      <c r="K20" s="67" t="s">
        <v>1292</v>
      </c>
      <c r="L20" s="67" t="s">
        <v>56</v>
      </c>
      <c r="M20" s="60" t="s">
        <v>11</v>
      </c>
      <c r="N20" s="81" t="s">
        <v>10</v>
      </c>
      <c r="O20" s="45" t="s">
        <v>45</v>
      </c>
      <c r="P20" s="3" t="str">
        <f>Capacitors[[#This Row],[Footprint]]</f>
        <v>CAP-0805</v>
      </c>
    </row>
    <row r="21" spans="1:17" x14ac:dyDescent="0.25">
      <c r="A21" s="95">
        <f t="shared" si="0"/>
        <v>20</v>
      </c>
      <c r="B21" s="50" t="s">
        <v>724</v>
      </c>
      <c r="C21" s="174" t="str">
        <f t="shared" si="1"/>
        <v>CAP</v>
      </c>
      <c r="D2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50V 5% NPO NFM 0603 AECQ</v>
      </c>
      <c r="E21" s="45" t="s">
        <v>887</v>
      </c>
      <c r="F21" s="45" t="s">
        <v>51</v>
      </c>
      <c r="G21" s="64" t="s">
        <v>410</v>
      </c>
      <c r="H21" s="49" t="s">
        <v>888</v>
      </c>
      <c r="I21" s="49" t="s">
        <v>882</v>
      </c>
      <c r="J21" s="45" t="s">
        <v>46</v>
      </c>
      <c r="K21" s="45" t="s">
        <v>915</v>
      </c>
      <c r="L21" s="45" t="s">
        <v>36</v>
      </c>
      <c r="M21" s="5" t="s">
        <v>11</v>
      </c>
      <c r="N21" s="46" t="s">
        <v>10</v>
      </c>
      <c r="O21" s="45" t="s">
        <v>45</v>
      </c>
      <c r="P21" s="3" t="str">
        <f>Capacitors[[#This Row],[Footprint]]</f>
        <v>CAP-0603</v>
      </c>
    </row>
    <row r="22" spans="1:17" x14ac:dyDescent="0.25">
      <c r="A22" s="95">
        <f t="shared" si="0"/>
        <v>21</v>
      </c>
      <c r="B22" s="50" t="s">
        <v>724</v>
      </c>
      <c r="C22" s="174" t="str">
        <f t="shared" si="1"/>
        <v>CAP</v>
      </c>
      <c r="D2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50V 5% C0G NFM 0603 AECQ</v>
      </c>
      <c r="E22" s="45" t="s">
        <v>887</v>
      </c>
      <c r="F22" s="45" t="s">
        <v>51</v>
      </c>
      <c r="G22" s="64" t="s">
        <v>410</v>
      </c>
      <c r="H22" s="49" t="s">
        <v>889</v>
      </c>
      <c r="I22" s="49" t="s">
        <v>882</v>
      </c>
      <c r="J22" s="45" t="s">
        <v>46</v>
      </c>
      <c r="K22" s="45" t="s">
        <v>1293</v>
      </c>
      <c r="L22" s="45" t="s">
        <v>32</v>
      </c>
      <c r="M22" s="5" t="s">
        <v>11</v>
      </c>
      <c r="N22" s="46" t="s">
        <v>10</v>
      </c>
      <c r="O22" s="45" t="s">
        <v>45</v>
      </c>
      <c r="P22" s="3" t="str">
        <f>Capacitors[[#This Row],[Footprint]]</f>
        <v>CAP-0603</v>
      </c>
    </row>
    <row r="23" spans="1:17" x14ac:dyDescent="0.25">
      <c r="A23" s="95">
        <f t="shared" si="0"/>
        <v>22</v>
      </c>
      <c r="B23" s="119" t="s">
        <v>725</v>
      </c>
      <c r="C23" s="174" t="str">
        <f t="shared" si="1"/>
        <v>CAP</v>
      </c>
      <c r="D2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0603 AECQ</v>
      </c>
      <c r="E23" s="45" t="s">
        <v>59</v>
      </c>
      <c r="F23" s="45" t="s">
        <v>51</v>
      </c>
      <c r="G23" s="64" t="s">
        <v>55</v>
      </c>
      <c r="H23" s="49" t="s">
        <v>54</v>
      </c>
      <c r="I23" s="77" t="s">
        <v>882</v>
      </c>
      <c r="J23" s="45" t="s">
        <v>46</v>
      </c>
      <c r="K23" s="45" t="s">
        <v>916</v>
      </c>
      <c r="L23" s="45" t="s">
        <v>36</v>
      </c>
      <c r="M23" s="5" t="s">
        <v>11</v>
      </c>
      <c r="N23" s="46" t="s">
        <v>10</v>
      </c>
      <c r="O23" s="45" t="s">
        <v>45</v>
      </c>
      <c r="P23" s="3" t="str">
        <f>Capacitors[[#This Row],[Footprint]]</f>
        <v>CAP-0603</v>
      </c>
    </row>
    <row r="24" spans="1:17" x14ac:dyDescent="0.25">
      <c r="A24" s="95">
        <f t="shared" si="0"/>
        <v>23</v>
      </c>
      <c r="B24" s="119" t="s">
        <v>725</v>
      </c>
      <c r="C24" s="174" t="str">
        <f t="shared" si="1"/>
        <v>CAP</v>
      </c>
      <c r="D2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OM 0603 AECQ</v>
      </c>
      <c r="E24" s="67" t="s">
        <v>59</v>
      </c>
      <c r="F24" s="67" t="s">
        <v>51</v>
      </c>
      <c r="G24" s="68" t="s">
        <v>55</v>
      </c>
      <c r="H24" s="69" t="s">
        <v>54</v>
      </c>
      <c r="I24" s="77" t="s">
        <v>883</v>
      </c>
      <c r="J24" s="67" t="s">
        <v>46</v>
      </c>
      <c r="K24" s="67" t="s">
        <v>1294</v>
      </c>
      <c r="L24" s="67" t="s">
        <v>32</v>
      </c>
      <c r="M24" s="60" t="s">
        <v>11</v>
      </c>
      <c r="N24" s="81" t="s">
        <v>10</v>
      </c>
      <c r="O24" s="45" t="s">
        <v>45</v>
      </c>
      <c r="P24" s="3" t="str">
        <f>Capacitors[[#This Row],[Footprint]]</f>
        <v>CAP-0603</v>
      </c>
    </row>
    <row r="25" spans="1:17" x14ac:dyDescent="0.25">
      <c r="A25" s="95">
        <f t="shared" si="0"/>
        <v>24</v>
      </c>
      <c r="B25" s="119" t="s">
        <v>725</v>
      </c>
      <c r="C25" s="174" t="str">
        <f t="shared" si="1"/>
        <v>CAP</v>
      </c>
      <c r="D2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OM 0603 AECQ</v>
      </c>
      <c r="E25" s="45" t="s">
        <v>59</v>
      </c>
      <c r="F25" s="45" t="s">
        <v>51</v>
      </c>
      <c r="G25" s="64" t="s">
        <v>55</v>
      </c>
      <c r="H25" s="49" t="s">
        <v>54</v>
      </c>
      <c r="I25" s="77" t="s">
        <v>883</v>
      </c>
      <c r="J25" s="45" t="s">
        <v>46</v>
      </c>
      <c r="K25" s="45" t="s">
        <v>1295</v>
      </c>
      <c r="L25" s="45" t="s">
        <v>32</v>
      </c>
      <c r="M25" s="5" t="s">
        <v>11</v>
      </c>
      <c r="N25" s="46" t="s">
        <v>10</v>
      </c>
      <c r="O25" s="45" t="s">
        <v>45</v>
      </c>
      <c r="P25" s="3" t="str">
        <f>Capacitors[[#This Row],[Footprint]]</f>
        <v>CAP-0603</v>
      </c>
    </row>
    <row r="26" spans="1:17" x14ac:dyDescent="0.25">
      <c r="A26" s="95">
        <f t="shared" si="0"/>
        <v>25</v>
      </c>
      <c r="B26" s="119" t="s">
        <v>725</v>
      </c>
      <c r="C26" s="174" t="str">
        <f t="shared" si="1"/>
        <v>CAP</v>
      </c>
      <c r="D2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0603 AECQ</v>
      </c>
      <c r="E26" s="45" t="s">
        <v>59</v>
      </c>
      <c r="F26" s="45" t="s">
        <v>51</v>
      </c>
      <c r="G26" s="64" t="s">
        <v>55</v>
      </c>
      <c r="H26" s="49" t="s">
        <v>54</v>
      </c>
      <c r="I26" s="77" t="s">
        <v>882</v>
      </c>
      <c r="J26" s="45" t="s">
        <v>46</v>
      </c>
      <c r="K26" s="45" t="s">
        <v>1296</v>
      </c>
      <c r="L26" s="45" t="s">
        <v>56</v>
      </c>
      <c r="M26" s="5" t="s">
        <v>11</v>
      </c>
      <c r="N26" s="46" t="s">
        <v>10</v>
      </c>
      <c r="O26" s="45" t="s">
        <v>45</v>
      </c>
      <c r="P26" s="3" t="str">
        <f>Capacitors[[#This Row],[Footprint]]</f>
        <v>CAP-0603</v>
      </c>
    </row>
    <row r="27" spans="1:17" x14ac:dyDescent="0.25">
      <c r="A27" s="95">
        <f t="shared" si="0"/>
        <v>26</v>
      </c>
      <c r="B27" s="14" t="s">
        <v>726</v>
      </c>
      <c r="C27" s="174" t="str">
        <f t="shared" si="1"/>
        <v>CAP</v>
      </c>
      <c r="D2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100V 10% X7R OM 0603 AECQ</v>
      </c>
      <c r="E27" s="67" t="s">
        <v>890</v>
      </c>
      <c r="F27" s="67" t="s">
        <v>57</v>
      </c>
      <c r="G27" s="68" t="s">
        <v>55</v>
      </c>
      <c r="H27" s="69" t="s">
        <v>54</v>
      </c>
      <c r="I27" s="69" t="s">
        <v>883</v>
      </c>
      <c r="J27" s="7" t="s">
        <v>46</v>
      </c>
      <c r="K27" s="67" t="s">
        <v>1297</v>
      </c>
      <c r="L27" s="67" t="s">
        <v>32</v>
      </c>
      <c r="M27" s="60" t="s">
        <v>11</v>
      </c>
      <c r="N27" s="81" t="s">
        <v>10</v>
      </c>
      <c r="O27" s="45" t="s">
        <v>45</v>
      </c>
      <c r="P27" s="3" t="str">
        <f>Capacitors[[#This Row],[Footprint]]</f>
        <v>CAP-0603</v>
      </c>
      <c r="Q27" s="247" t="s">
        <v>1047</v>
      </c>
    </row>
    <row r="28" spans="1:17" x14ac:dyDescent="0.25">
      <c r="A28" s="95">
        <f t="shared" si="0"/>
        <v>27</v>
      </c>
      <c r="B28" s="14" t="s">
        <v>726</v>
      </c>
      <c r="C28" s="174" t="str">
        <f t="shared" si="1"/>
        <v>CAP</v>
      </c>
      <c r="D2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100V 10% X7R ST 0805 AECQ</v>
      </c>
      <c r="E28" s="67" t="s">
        <v>890</v>
      </c>
      <c r="F28" s="67" t="s">
        <v>57</v>
      </c>
      <c r="G28" s="68" t="s">
        <v>55</v>
      </c>
      <c r="H28" s="69" t="s">
        <v>54</v>
      </c>
      <c r="I28" s="69" t="s">
        <v>884</v>
      </c>
      <c r="J28" s="7" t="s">
        <v>49</v>
      </c>
      <c r="K28" s="67" t="s">
        <v>1298</v>
      </c>
      <c r="L28" s="67" t="s">
        <v>56</v>
      </c>
      <c r="M28" s="60" t="s">
        <v>11</v>
      </c>
      <c r="N28" s="81" t="s">
        <v>10</v>
      </c>
      <c r="O28" s="45" t="s">
        <v>45</v>
      </c>
      <c r="P28" s="3" t="str">
        <f>Capacitors[[#This Row],[Footprint]]</f>
        <v>CAP-0805</v>
      </c>
      <c r="Q28" s="247"/>
    </row>
    <row r="29" spans="1:17" x14ac:dyDescent="0.25">
      <c r="A29" s="95">
        <f t="shared" si="0"/>
        <v>28</v>
      </c>
      <c r="B29" s="119" t="s">
        <v>727</v>
      </c>
      <c r="C29" s="174" t="str">
        <f t="shared" si="1"/>
        <v>CAP</v>
      </c>
      <c r="D2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680pF 50V 5% NPO NFM 0805 AECQ</v>
      </c>
      <c r="E29" s="45" t="s">
        <v>891</v>
      </c>
      <c r="F29" s="45" t="s">
        <v>51</v>
      </c>
      <c r="G29" s="64" t="s">
        <v>410</v>
      </c>
      <c r="H29" s="49" t="s">
        <v>888</v>
      </c>
      <c r="I29" s="49" t="s">
        <v>882</v>
      </c>
      <c r="J29" s="71" t="s">
        <v>49</v>
      </c>
      <c r="K29" s="45" t="s">
        <v>917</v>
      </c>
      <c r="L29" s="45" t="s">
        <v>36</v>
      </c>
      <c r="M29" s="5" t="s">
        <v>11</v>
      </c>
      <c r="N29" s="46" t="s">
        <v>10</v>
      </c>
      <c r="O29" s="45" t="s">
        <v>45</v>
      </c>
      <c r="P29" s="3" t="str">
        <f>Capacitors[[#This Row],[Footprint]]</f>
        <v>CAP-0805</v>
      </c>
      <c r="Q29" s="247" t="s">
        <v>1047</v>
      </c>
    </row>
    <row r="30" spans="1:17" x14ac:dyDescent="0.25">
      <c r="A30" s="95">
        <f t="shared" si="0"/>
        <v>29</v>
      </c>
      <c r="B30" s="119" t="s">
        <v>727</v>
      </c>
      <c r="C30" s="174" t="str">
        <f t="shared" si="1"/>
        <v>CAP</v>
      </c>
      <c r="D3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680pF 50V 5% C0G NFM 1206 STD</v>
      </c>
      <c r="E30" s="67" t="s">
        <v>891</v>
      </c>
      <c r="F30" s="67" t="s">
        <v>51</v>
      </c>
      <c r="G30" s="68" t="s">
        <v>410</v>
      </c>
      <c r="H30" s="69" t="s">
        <v>889</v>
      </c>
      <c r="I30" s="69" t="s">
        <v>882</v>
      </c>
      <c r="J30" s="71" t="s">
        <v>50</v>
      </c>
      <c r="K30" s="67" t="s">
        <v>1299</v>
      </c>
      <c r="L30" s="67" t="s">
        <v>32</v>
      </c>
      <c r="M30" s="86" t="s">
        <v>1561</v>
      </c>
      <c r="N30" s="81" t="s">
        <v>10</v>
      </c>
      <c r="O30" s="45" t="s">
        <v>45</v>
      </c>
      <c r="P30" s="3" t="str">
        <f>Capacitors[[#This Row],[Footprint]]</f>
        <v>CAP-1206</v>
      </c>
      <c r="Q30" s="247"/>
    </row>
    <row r="31" spans="1:17" x14ac:dyDescent="0.25">
      <c r="A31" s="95">
        <f t="shared" si="0"/>
        <v>30</v>
      </c>
      <c r="B31" s="119" t="s">
        <v>727</v>
      </c>
      <c r="C31" s="174" t="str">
        <f t="shared" si="1"/>
        <v>CAP</v>
      </c>
      <c r="D3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680pF 50V 5% C0G NFM 0805 AECQ</v>
      </c>
      <c r="E31" s="67" t="s">
        <v>891</v>
      </c>
      <c r="F31" s="67" t="s">
        <v>51</v>
      </c>
      <c r="G31" s="68" t="s">
        <v>410</v>
      </c>
      <c r="H31" s="69" t="s">
        <v>889</v>
      </c>
      <c r="I31" s="69" t="s">
        <v>882</v>
      </c>
      <c r="J31" s="71" t="s">
        <v>49</v>
      </c>
      <c r="K31" s="67" t="s">
        <v>1300</v>
      </c>
      <c r="L31" s="67" t="s">
        <v>56</v>
      </c>
      <c r="M31" s="60" t="s">
        <v>11</v>
      </c>
      <c r="N31" s="81" t="s">
        <v>10</v>
      </c>
      <c r="O31" s="45" t="s">
        <v>45</v>
      </c>
      <c r="P31" s="3" t="str">
        <f>Capacitors[[#This Row],[Footprint]]</f>
        <v>CAP-0805</v>
      </c>
      <c r="Q31" s="247"/>
    </row>
    <row r="32" spans="1:17" x14ac:dyDescent="0.25">
      <c r="A32" s="95">
        <f t="shared" si="0"/>
        <v>31</v>
      </c>
      <c r="B32" s="50" t="s">
        <v>728</v>
      </c>
      <c r="C32" s="174" t="str">
        <f t="shared" si="1"/>
        <v>CAP</v>
      </c>
      <c r="D3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33pF 50V 5% NPO NFM 0603 AECQ</v>
      </c>
      <c r="E32" s="45" t="s">
        <v>892</v>
      </c>
      <c r="F32" s="45" t="s">
        <v>51</v>
      </c>
      <c r="G32" s="64" t="s">
        <v>410</v>
      </c>
      <c r="H32" s="49" t="s">
        <v>888</v>
      </c>
      <c r="I32" s="49" t="s">
        <v>882</v>
      </c>
      <c r="J32" s="45" t="s">
        <v>46</v>
      </c>
      <c r="K32" s="45" t="s">
        <v>918</v>
      </c>
      <c r="L32" s="45" t="s">
        <v>36</v>
      </c>
      <c r="M32" s="5" t="s">
        <v>11</v>
      </c>
      <c r="N32" s="46" t="s">
        <v>10</v>
      </c>
      <c r="O32" s="45" t="s">
        <v>45</v>
      </c>
      <c r="P32" s="3" t="str">
        <f>Capacitors[[#This Row],[Footprint]]</f>
        <v>CAP-0603</v>
      </c>
    </row>
    <row r="33" spans="1:17" x14ac:dyDescent="0.25">
      <c r="A33" s="95">
        <f t="shared" si="0"/>
        <v>32</v>
      </c>
      <c r="B33" s="50" t="s">
        <v>728</v>
      </c>
      <c r="C33" s="174" t="str">
        <f t="shared" si="1"/>
        <v>CAP</v>
      </c>
      <c r="D3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33pF 50V 5% C0G NFM 0603 AECQ</v>
      </c>
      <c r="E33" s="45" t="s">
        <v>892</v>
      </c>
      <c r="F33" s="45" t="s">
        <v>51</v>
      </c>
      <c r="G33" s="64" t="s">
        <v>410</v>
      </c>
      <c r="H33" s="49" t="s">
        <v>889</v>
      </c>
      <c r="I33" s="49" t="s">
        <v>882</v>
      </c>
      <c r="J33" s="45" t="s">
        <v>46</v>
      </c>
      <c r="K33" s="45" t="s">
        <v>1301</v>
      </c>
      <c r="L33" s="45" t="s">
        <v>56</v>
      </c>
      <c r="M33" s="5" t="s">
        <v>11</v>
      </c>
      <c r="N33" s="46" t="s">
        <v>10</v>
      </c>
      <c r="O33" s="45" t="s">
        <v>45</v>
      </c>
      <c r="P33" s="3" t="str">
        <f>Capacitors[[#This Row],[Footprint]]</f>
        <v>CAP-0603</v>
      </c>
    </row>
    <row r="34" spans="1:17" x14ac:dyDescent="0.25">
      <c r="A34" s="95">
        <f t="shared" si="0"/>
        <v>33</v>
      </c>
      <c r="B34" s="14" t="s">
        <v>729</v>
      </c>
      <c r="C34" s="174" t="str">
        <f t="shared" si="1"/>
        <v>CAP</v>
      </c>
      <c r="D3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ST 0603 AECQ</v>
      </c>
      <c r="E34" s="45" t="s">
        <v>58</v>
      </c>
      <c r="F34" s="45" t="s">
        <v>51</v>
      </c>
      <c r="G34" s="64" t="s">
        <v>55</v>
      </c>
      <c r="H34" s="49" t="s">
        <v>54</v>
      </c>
      <c r="I34" s="66" t="s">
        <v>884</v>
      </c>
      <c r="J34" s="45" t="s">
        <v>46</v>
      </c>
      <c r="K34" s="45" t="s">
        <v>919</v>
      </c>
      <c r="L34" s="45" t="s">
        <v>37</v>
      </c>
      <c r="M34" s="5" t="s">
        <v>11</v>
      </c>
      <c r="N34" s="46" t="s">
        <v>10</v>
      </c>
      <c r="O34" s="45" t="s">
        <v>45</v>
      </c>
      <c r="P34" s="3" t="str">
        <f>Capacitors[[#This Row],[Footprint]]</f>
        <v>CAP-0603</v>
      </c>
    </row>
    <row r="35" spans="1:17" x14ac:dyDescent="0.25">
      <c r="A35" s="95">
        <f t="shared" si="0"/>
        <v>34</v>
      </c>
      <c r="B35" s="14" t="s">
        <v>729</v>
      </c>
      <c r="C35" s="174" t="str">
        <f t="shared" si="1"/>
        <v>CAP</v>
      </c>
      <c r="D3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35" s="45" t="s">
        <v>58</v>
      </c>
      <c r="F35" s="45" t="s">
        <v>51</v>
      </c>
      <c r="G35" s="64" t="s">
        <v>55</v>
      </c>
      <c r="H35" s="49" t="s">
        <v>54</v>
      </c>
      <c r="I35" s="66" t="s">
        <v>882</v>
      </c>
      <c r="J35" s="45" t="s">
        <v>46</v>
      </c>
      <c r="K35" s="45" t="s">
        <v>920</v>
      </c>
      <c r="L35" s="45" t="s">
        <v>36</v>
      </c>
      <c r="M35" s="5" t="s">
        <v>11</v>
      </c>
      <c r="N35" s="46" t="s">
        <v>10</v>
      </c>
      <c r="O35" s="45" t="s">
        <v>45</v>
      </c>
      <c r="P35" s="3" t="str">
        <f>Capacitors[[#This Row],[Footprint]]</f>
        <v>CAP-0603</v>
      </c>
    </row>
    <row r="36" spans="1:17" x14ac:dyDescent="0.25">
      <c r="A36" s="95">
        <f t="shared" si="0"/>
        <v>35</v>
      </c>
      <c r="B36" s="14" t="s">
        <v>729</v>
      </c>
      <c r="C36" s="174" t="str">
        <f t="shared" si="1"/>
        <v>CAP</v>
      </c>
      <c r="D3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36" s="45" t="s">
        <v>58</v>
      </c>
      <c r="F36" s="45" t="s">
        <v>51</v>
      </c>
      <c r="G36" s="64" t="s">
        <v>55</v>
      </c>
      <c r="H36" s="49" t="s">
        <v>54</v>
      </c>
      <c r="I36" s="66" t="s">
        <v>882</v>
      </c>
      <c r="J36" s="45" t="s">
        <v>46</v>
      </c>
      <c r="K36" s="45" t="s">
        <v>921</v>
      </c>
      <c r="L36" s="45" t="s">
        <v>53</v>
      </c>
      <c r="M36" s="5" t="s">
        <v>11</v>
      </c>
      <c r="N36" s="46" t="s">
        <v>10</v>
      </c>
      <c r="O36" s="45" t="s">
        <v>45</v>
      </c>
      <c r="P36" s="3" t="str">
        <f>Capacitors[[#This Row],[Footprint]]</f>
        <v>CAP-0603</v>
      </c>
    </row>
    <row r="37" spans="1:17" x14ac:dyDescent="0.25">
      <c r="A37" s="95">
        <f t="shared" si="0"/>
        <v>36</v>
      </c>
      <c r="B37" s="14" t="s">
        <v>729</v>
      </c>
      <c r="C37" s="174" t="str">
        <f t="shared" si="1"/>
        <v>CAP</v>
      </c>
      <c r="D3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ST 0603 AECQ</v>
      </c>
      <c r="E37" s="45" t="s">
        <v>58</v>
      </c>
      <c r="F37" s="45" t="s">
        <v>51</v>
      </c>
      <c r="G37" s="64" t="s">
        <v>55</v>
      </c>
      <c r="H37" s="49" t="s">
        <v>54</v>
      </c>
      <c r="I37" s="66" t="s">
        <v>884</v>
      </c>
      <c r="J37" s="45" t="s">
        <v>46</v>
      </c>
      <c r="K37" s="45" t="s">
        <v>922</v>
      </c>
      <c r="L37" s="45" t="s">
        <v>53</v>
      </c>
      <c r="M37" s="5" t="s">
        <v>11</v>
      </c>
      <c r="N37" s="46" t="s">
        <v>10</v>
      </c>
      <c r="O37" s="45" t="s">
        <v>45</v>
      </c>
      <c r="P37" s="3" t="str">
        <f>Capacitors[[#This Row],[Footprint]]</f>
        <v>CAP-0603</v>
      </c>
    </row>
    <row r="38" spans="1:17" x14ac:dyDescent="0.25">
      <c r="A38" s="95">
        <f t="shared" si="0"/>
        <v>37</v>
      </c>
      <c r="B38" s="14" t="s">
        <v>729</v>
      </c>
      <c r="C38" s="174" t="str">
        <f t="shared" si="1"/>
        <v>CAP</v>
      </c>
      <c r="D3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OM 0603 AECQ</v>
      </c>
      <c r="E38" s="45" t="s">
        <v>58</v>
      </c>
      <c r="F38" s="45" t="s">
        <v>51</v>
      </c>
      <c r="G38" s="64" t="s">
        <v>55</v>
      </c>
      <c r="H38" s="49" t="s">
        <v>54</v>
      </c>
      <c r="I38" s="66" t="s">
        <v>883</v>
      </c>
      <c r="J38" s="45" t="s">
        <v>46</v>
      </c>
      <c r="K38" s="45" t="s">
        <v>1302</v>
      </c>
      <c r="L38" s="45" t="s">
        <v>32</v>
      </c>
      <c r="M38" s="5" t="s">
        <v>11</v>
      </c>
      <c r="N38" s="46" t="s">
        <v>10</v>
      </c>
      <c r="O38" s="45" t="s">
        <v>45</v>
      </c>
      <c r="P38" s="3" t="str">
        <f>Capacitors[[#This Row],[Footprint]]</f>
        <v>CAP-0603</v>
      </c>
    </row>
    <row r="39" spans="1:17" x14ac:dyDescent="0.25">
      <c r="A39" s="95">
        <f t="shared" si="0"/>
        <v>38</v>
      </c>
      <c r="B39" s="14" t="s">
        <v>729</v>
      </c>
      <c r="C39" s="174" t="str">
        <f t="shared" si="1"/>
        <v>CAP</v>
      </c>
      <c r="D3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39" s="45" t="s">
        <v>58</v>
      </c>
      <c r="F39" s="45" t="s">
        <v>51</v>
      </c>
      <c r="G39" s="64" t="s">
        <v>55</v>
      </c>
      <c r="H39" s="49" t="s">
        <v>54</v>
      </c>
      <c r="I39" s="66" t="s">
        <v>882</v>
      </c>
      <c r="J39" s="45" t="s">
        <v>46</v>
      </c>
      <c r="K39" s="45" t="s">
        <v>1303</v>
      </c>
      <c r="L39" s="45" t="s">
        <v>56</v>
      </c>
      <c r="M39" s="5" t="s">
        <v>11</v>
      </c>
      <c r="N39" s="46" t="s">
        <v>10</v>
      </c>
      <c r="O39" s="45" t="s">
        <v>45</v>
      </c>
      <c r="P39" s="3" t="str">
        <f>Capacitors[[#This Row],[Footprint]]</f>
        <v>CAP-0603</v>
      </c>
    </row>
    <row r="40" spans="1:17" x14ac:dyDescent="0.25">
      <c r="A40" s="95">
        <f t="shared" si="0"/>
        <v>39</v>
      </c>
      <c r="B40" s="119" t="s">
        <v>730</v>
      </c>
      <c r="C40" s="174" t="str">
        <f t="shared" si="1"/>
        <v>CAP</v>
      </c>
      <c r="D4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100V 10% X7R NFM 0805 AECQ</v>
      </c>
      <c r="E40" s="45" t="s">
        <v>58</v>
      </c>
      <c r="F40" s="45" t="s">
        <v>57</v>
      </c>
      <c r="G40" s="64" t="s">
        <v>55</v>
      </c>
      <c r="H40" s="49" t="s">
        <v>54</v>
      </c>
      <c r="I40" s="77" t="s">
        <v>882</v>
      </c>
      <c r="J40" s="45" t="s">
        <v>49</v>
      </c>
      <c r="K40" s="67" t="s">
        <v>923</v>
      </c>
      <c r="L40" s="45" t="s">
        <v>36</v>
      </c>
      <c r="M40" s="5" t="s">
        <v>11</v>
      </c>
      <c r="N40" s="46" t="s">
        <v>10</v>
      </c>
      <c r="O40" s="45" t="s">
        <v>45</v>
      </c>
      <c r="P40" s="3" t="str">
        <f>Capacitors[[#This Row],[Footprint]]</f>
        <v>CAP-0805</v>
      </c>
    </row>
    <row r="41" spans="1:17" x14ac:dyDescent="0.25">
      <c r="A41" s="95">
        <f t="shared" si="0"/>
        <v>40</v>
      </c>
      <c r="B41" s="119" t="s">
        <v>730</v>
      </c>
      <c r="C41" s="174" t="str">
        <f t="shared" si="1"/>
        <v>CAP</v>
      </c>
      <c r="D4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100V 10% X7R NFM 0805 AECQ</v>
      </c>
      <c r="E41" s="45" t="s">
        <v>58</v>
      </c>
      <c r="F41" s="45" t="s">
        <v>57</v>
      </c>
      <c r="G41" s="64" t="s">
        <v>55</v>
      </c>
      <c r="H41" s="49" t="s">
        <v>54</v>
      </c>
      <c r="I41" s="77" t="s">
        <v>882</v>
      </c>
      <c r="J41" s="45" t="s">
        <v>49</v>
      </c>
      <c r="K41" s="45" t="s">
        <v>924</v>
      </c>
      <c r="L41" s="45" t="s">
        <v>913</v>
      </c>
      <c r="M41" s="5" t="s">
        <v>11</v>
      </c>
      <c r="N41" s="46" t="s">
        <v>10</v>
      </c>
      <c r="O41" s="45" t="s">
        <v>45</v>
      </c>
      <c r="P41" s="3" t="str">
        <f>Capacitors[[#This Row],[Footprint]]</f>
        <v>CAP-0805</v>
      </c>
    </row>
    <row r="42" spans="1:17" x14ac:dyDescent="0.25">
      <c r="A42" s="95">
        <f t="shared" si="0"/>
        <v>41</v>
      </c>
      <c r="B42" s="119" t="s">
        <v>730</v>
      </c>
      <c r="C42" s="174" t="str">
        <f t="shared" si="1"/>
        <v>CAP</v>
      </c>
      <c r="D4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100V 10% X7R OM 0805 AECQ</v>
      </c>
      <c r="E42" s="45" t="s">
        <v>58</v>
      </c>
      <c r="F42" s="45" t="s">
        <v>57</v>
      </c>
      <c r="G42" s="64" t="s">
        <v>55</v>
      </c>
      <c r="H42" s="49" t="s">
        <v>54</v>
      </c>
      <c r="I42" s="77" t="s">
        <v>883</v>
      </c>
      <c r="J42" s="45" t="s">
        <v>49</v>
      </c>
      <c r="K42" s="45" t="s">
        <v>1304</v>
      </c>
      <c r="L42" s="45" t="s">
        <v>32</v>
      </c>
      <c r="M42" s="5" t="s">
        <v>11</v>
      </c>
      <c r="N42" s="46" t="s">
        <v>10</v>
      </c>
      <c r="O42" s="45" t="s">
        <v>45</v>
      </c>
      <c r="P42" s="3" t="str">
        <f>Capacitors[[#This Row],[Footprint]]</f>
        <v>CAP-0805</v>
      </c>
    </row>
    <row r="43" spans="1:17" x14ac:dyDescent="0.25">
      <c r="A43" s="95">
        <f t="shared" si="0"/>
        <v>42</v>
      </c>
      <c r="B43" s="50" t="s">
        <v>731</v>
      </c>
      <c r="C43" s="174" t="str">
        <f t="shared" si="1"/>
        <v>CAP</v>
      </c>
      <c r="D4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50V 10% X7R NFM 0603 AECQ</v>
      </c>
      <c r="E43" s="45" t="s">
        <v>890</v>
      </c>
      <c r="F43" s="45" t="s">
        <v>51</v>
      </c>
      <c r="G43" s="64" t="s">
        <v>55</v>
      </c>
      <c r="H43" s="49" t="s">
        <v>54</v>
      </c>
      <c r="I43" s="69" t="s">
        <v>882</v>
      </c>
      <c r="J43" s="45" t="s">
        <v>46</v>
      </c>
      <c r="K43" s="45" t="s">
        <v>925</v>
      </c>
      <c r="L43" s="45" t="s">
        <v>36</v>
      </c>
      <c r="M43" s="5" t="s">
        <v>11</v>
      </c>
      <c r="N43" s="46" t="s">
        <v>10</v>
      </c>
      <c r="O43" s="45" t="s">
        <v>45</v>
      </c>
      <c r="P43" s="3" t="str">
        <f>Capacitors[[#This Row],[Footprint]]</f>
        <v>CAP-0603</v>
      </c>
    </row>
    <row r="44" spans="1:17" x14ac:dyDescent="0.25">
      <c r="A44" s="95">
        <f t="shared" si="0"/>
        <v>43</v>
      </c>
      <c r="B44" s="14" t="s">
        <v>732</v>
      </c>
      <c r="C44" s="174" t="str">
        <f t="shared" si="1"/>
        <v>CAP</v>
      </c>
      <c r="D4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? X7R NFM 0805 AECQ</v>
      </c>
      <c r="E44" s="7" t="s">
        <v>59</v>
      </c>
      <c r="F44" s="7" t="s">
        <v>57</v>
      </c>
      <c r="G44" s="78" t="s">
        <v>250</v>
      </c>
      <c r="H44" s="69" t="s">
        <v>54</v>
      </c>
      <c r="I44" s="66" t="s">
        <v>882</v>
      </c>
      <c r="J44" s="67" t="s">
        <v>49</v>
      </c>
      <c r="K44" s="7" t="s">
        <v>1305</v>
      </c>
      <c r="L44" s="67" t="s">
        <v>53</v>
      </c>
      <c r="M44" s="60" t="s">
        <v>11</v>
      </c>
      <c r="N44" s="81" t="s">
        <v>10</v>
      </c>
      <c r="O44" s="45" t="s">
        <v>45</v>
      </c>
      <c r="P44" s="3" t="str">
        <f>Capacitors[[#This Row],[Footprint]]</f>
        <v>CAP-0805</v>
      </c>
      <c r="Q44" s="122" t="s">
        <v>1044</v>
      </c>
    </row>
    <row r="45" spans="1:17" x14ac:dyDescent="0.25">
      <c r="A45" s="95">
        <f t="shared" si="0"/>
        <v>44</v>
      </c>
      <c r="B45" s="14" t="s">
        <v>732</v>
      </c>
      <c r="C45" s="174" t="str">
        <f t="shared" si="1"/>
        <v>CAP</v>
      </c>
      <c r="D4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2.2nF 50V 10% X7R ST 0805 AECQ</v>
      </c>
      <c r="E45" s="7" t="s">
        <v>893</v>
      </c>
      <c r="F45" s="7" t="s">
        <v>51</v>
      </c>
      <c r="G45" s="65" t="s">
        <v>55</v>
      </c>
      <c r="H45" s="69" t="s">
        <v>54</v>
      </c>
      <c r="I45" s="66" t="s">
        <v>884</v>
      </c>
      <c r="J45" s="67" t="s">
        <v>49</v>
      </c>
      <c r="K45" s="67" t="s">
        <v>926</v>
      </c>
      <c r="L45" s="67" t="s">
        <v>56</v>
      </c>
      <c r="M45" s="60" t="s">
        <v>11</v>
      </c>
      <c r="N45" s="81" t="s">
        <v>10</v>
      </c>
      <c r="O45" s="45" t="s">
        <v>45</v>
      </c>
      <c r="P45" s="3" t="str">
        <f>Capacitors[[#This Row],[Footprint]]</f>
        <v>CAP-0805</v>
      </c>
      <c r="Q45" s="122" t="s">
        <v>1047</v>
      </c>
    </row>
    <row r="46" spans="1:17" x14ac:dyDescent="0.25">
      <c r="A46" s="95">
        <f t="shared" si="0"/>
        <v>45</v>
      </c>
      <c r="B46" s="14" t="s">
        <v>732</v>
      </c>
      <c r="C46" s="174" t="str">
        <f t="shared" si="1"/>
        <v>CAP</v>
      </c>
      <c r="D4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? X7R ST 0805 AECQ</v>
      </c>
      <c r="E46" s="7" t="s">
        <v>59</v>
      </c>
      <c r="F46" s="7" t="s">
        <v>57</v>
      </c>
      <c r="G46" s="78" t="s">
        <v>250</v>
      </c>
      <c r="H46" s="69" t="s">
        <v>54</v>
      </c>
      <c r="I46" s="66" t="s">
        <v>884</v>
      </c>
      <c r="J46" s="67" t="s">
        <v>49</v>
      </c>
      <c r="K46" s="7" t="s">
        <v>1306</v>
      </c>
      <c r="L46" s="67" t="s">
        <v>56</v>
      </c>
      <c r="M46" s="60" t="s">
        <v>11</v>
      </c>
      <c r="N46" s="81" t="s">
        <v>10</v>
      </c>
      <c r="O46" s="45" t="s">
        <v>45</v>
      </c>
      <c r="P46" s="3" t="str">
        <f>Capacitors[[#This Row],[Footprint]]</f>
        <v>CAP-0805</v>
      </c>
      <c r="Q46" s="122" t="s">
        <v>1044</v>
      </c>
    </row>
    <row r="47" spans="1:17" x14ac:dyDescent="0.25">
      <c r="A47" s="95">
        <f t="shared" si="0"/>
        <v>46</v>
      </c>
      <c r="B47" s="50" t="s">
        <v>732</v>
      </c>
      <c r="C47" s="174" t="str">
        <f t="shared" si="1"/>
        <v>CAP</v>
      </c>
      <c r="D4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0805 AECQ</v>
      </c>
      <c r="E47" s="45" t="s">
        <v>59</v>
      </c>
      <c r="F47" s="45" t="s">
        <v>57</v>
      </c>
      <c r="G47" s="64" t="s">
        <v>55</v>
      </c>
      <c r="H47" s="49" t="s">
        <v>54</v>
      </c>
      <c r="I47" s="49" t="s">
        <v>884</v>
      </c>
      <c r="J47" s="45" t="s">
        <v>49</v>
      </c>
      <c r="K47" s="67" t="s">
        <v>1292</v>
      </c>
      <c r="L47" s="45" t="s">
        <v>56</v>
      </c>
      <c r="M47" s="5" t="s">
        <v>11</v>
      </c>
      <c r="N47" s="46" t="s">
        <v>10</v>
      </c>
      <c r="O47" s="45" t="s">
        <v>45</v>
      </c>
      <c r="P47" s="3" t="str">
        <f>Capacitors[[#This Row],[Footprint]]</f>
        <v>CAP-0805</v>
      </c>
    </row>
    <row r="48" spans="1:17" x14ac:dyDescent="0.25">
      <c r="A48" s="95">
        <f t="shared" si="0"/>
        <v>47</v>
      </c>
      <c r="B48" s="50" t="s">
        <v>732</v>
      </c>
      <c r="C48" s="174" t="str">
        <f t="shared" si="1"/>
        <v>CAP</v>
      </c>
      <c r="D4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NFM 0805 AECQ</v>
      </c>
      <c r="E48" s="45" t="s">
        <v>59</v>
      </c>
      <c r="F48" s="45" t="s">
        <v>57</v>
      </c>
      <c r="G48" s="64" t="s">
        <v>55</v>
      </c>
      <c r="H48" s="49" t="s">
        <v>54</v>
      </c>
      <c r="I48" s="49" t="s">
        <v>882</v>
      </c>
      <c r="J48" s="45" t="s">
        <v>49</v>
      </c>
      <c r="K48" s="67" t="s">
        <v>1307</v>
      </c>
      <c r="L48" s="45" t="s">
        <v>56</v>
      </c>
      <c r="M48" s="5" t="s">
        <v>11</v>
      </c>
      <c r="N48" s="46" t="s">
        <v>10</v>
      </c>
      <c r="O48" s="45" t="s">
        <v>45</v>
      </c>
      <c r="P48" s="3" t="str">
        <f>Capacitors[[#This Row],[Footprint]]</f>
        <v>CAP-0805</v>
      </c>
    </row>
    <row r="49" spans="1:17" x14ac:dyDescent="0.25">
      <c r="A49" s="95">
        <f t="shared" si="0"/>
        <v>48</v>
      </c>
      <c r="B49" s="14" t="s">
        <v>733</v>
      </c>
      <c r="C49" s="174" t="str">
        <f t="shared" si="1"/>
        <v>CAP</v>
      </c>
      <c r="D4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? X7S ? 0805 AECQ</v>
      </c>
      <c r="E49" s="7" t="s">
        <v>885</v>
      </c>
      <c r="F49" s="7" t="s">
        <v>57</v>
      </c>
      <c r="G49" s="78" t="s">
        <v>250</v>
      </c>
      <c r="H49" s="66" t="s">
        <v>886</v>
      </c>
      <c r="I49" s="78" t="s">
        <v>250</v>
      </c>
      <c r="J49" s="67" t="s">
        <v>49</v>
      </c>
      <c r="K49" s="7" t="s">
        <v>1308</v>
      </c>
      <c r="L49" s="67" t="s">
        <v>53</v>
      </c>
      <c r="M49" s="60" t="s">
        <v>11</v>
      </c>
      <c r="N49" s="81" t="s">
        <v>10</v>
      </c>
      <c r="O49" s="45" t="s">
        <v>45</v>
      </c>
      <c r="P49" s="3" t="str">
        <f>Capacitors[[#This Row],[Footprint]]</f>
        <v>CAP-0805</v>
      </c>
      <c r="Q49" s="122" t="s">
        <v>1044</v>
      </c>
    </row>
    <row r="50" spans="1:17" x14ac:dyDescent="0.25">
      <c r="A50" s="95">
        <f t="shared" si="0"/>
        <v>49</v>
      </c>
      <c r="B50" s="14" t="s">
        <v>733</v>
      </c>
      <c r="C50" s="174" t="str">
        <f t="shared" si="1"/>
        <v>CAP</v>
      </c>
      <c r="D5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ST 0603 AECQ</v>
      </c>
      <c r="E50" s="7" t="s">
        <v>58</v>
      </c>
      <c r="F50" s="7" t="s">
        <v>51</v>
      </c>
      <c r="G50" s="65" t="s">
        <v>55</v>
      </c>
      <c r="H50" s="66" t="s">
        <v>54</v>
      </c>
      <c r="I50" s="66" t="s">
        <v>884</v>
      </c>
      <c r="J50" s="67" t="s">
        <v>46</v>
      </c>
      <c r="K50" s="67" t="s">
        <v>927</v>
      </c>
      <c r="L50" s="67" t="s">
        <v>56</v>
      </c>
      <c r="M50" s="60" t="s">
        <v>11</v>
      </c>
      <c r="N50" s="81" t="s">
        <v>10</v>
      </c>
      <c r="O50" s="45" t="s">
        <v>45</v>
      </c>
      <c r="P50" s="3" t="str">
        <f>Capacitors[[#This Row],[Footprint]]</f>
        <v>CAP-0603</v>
      </c>
    </row>
    <row r="51" spans="1:17" x14ac:dyDescent="0.25">
      <c r="A51" s="95">
        <f t="shared" si="0"/>
        <v>50</v>
      </c>
      <c r="B51" s="14" t="s">
        <v>733</v>
      </c>
      <c r="C51" s="174" t="str">
        <f t="shared" si="1"/>
        <v>CAP</v>
      </c>
      <c r="D5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? X7S ST 0805 AECQ</v>
      </c>
      <c r="E51" s="7" t="s">
        <v>885</v>
      </c>
      <c r="F51" s="7" t="s">
        <v>57</v>
      </c>
      <c r="G51" s="78" t="s">
        <v>250</v>
      </c>
      <c r="H51" s="125" t="s">
        <v>886</v>
      </c>
      <c r="I51" s="66" t="s">
        <v>884</v>
      </c>
      <c r="J51" s="67" t="s">
        <v>49</v>
      </c>
      <c r="K51" s="7" t="s">
        <v>1309</v>
      </c>
      <c r="L51" s="67" t="s">
        <v>56</v>
      </c>
      <c r="M51" s="60" t="s">
        <v>11</v>
      </c>
      <c r="N51" s="81" t="s">
        <v>10</v>
      </c>
      <c r="O51" s="45" t="s">
        <v>45</v>
      </c>
      <c r="P51" s="3" t="str">
        <f>Capacitors[[#This Row],[Footprint]]</f>
        <v>CAP-0805</v>
      </c>
      <c r="Q51" s="122" t="s">
        <v>1044</v>
      </c>
    </row>
    <row r="52" spans="1:17" x14ac:dyDescent="0.25">
      <c r="A52" s="95">
        <f t="shared" si="0"/>
        <v>51</v>
      </c>
      <c r="B52" s="50" t="s">
        <v>733</v>
      </c>
      <c r="C52" s="174" t="str">
        <f t="shared" si="1"/>
        <v>CAP</v>
      </c>
      <c r="D5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NFM 0805 AECQ</v>
      </c>
      <c r="E52" s="45" t="s">
        <v>885</v>
      </c>
      <c r="F52" s="45" t="s">
        <v>57</v>
      </c>
      <c r="G52" s="64" t="s">
        <v>55</v>
      </c>
      <c r="H52" s="49" t="s">
        <v>886</v>
      </c>
      <c r="I52" s="49" t="s">
        <v>882</v>
      </c>
      <c r="J52" s="45" t="s">
        <v>49</v>
      </c>
      <c r="K52" s="45" t="s">
        <v>978</v>
      </c>
      <c r="L52" s="45" t="s">
        <v>56</v>
      </c>
      <c r="M52" s="5" t="s">
        <v>11</v>
      </c>
      <c r="N52" s="46" t="s">
        <v>10</v>
      </c>
      <c r="O52" s="45" t="s">
        <v>45</v>
      </c>
      <c r="P52" s="3" t="str">
        <f>Capacitors[[#This Row],[Footprint]]</f>
        <v>CAP-0805</v>
      </c>
    </row>
    <row r="53" spans="1:17" x14ac:dyDescent="0.25">
      <c r="A53" s="95">
        <f t="shared" si="0"/>
        <v>52</v>
      </c>
      <c r="B53" s="62" t="s">
        <v>734</v>
      </c>
      <c r="C53" s="174" t="str">
        <f t="shared" si="1"/>
        <v>CAP</v>
      </c>
      <c r="D5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0805 AECQ</v>
      </c>
      <c r="E53" s="72" t="s">
        <v>58</v>
      </c>
      <c r="F53" s="72" t="s">
        <v>51</v>
      </c>
      <c r="G53" s="73" t="s">
        <v>55</v>
      </c>
      <c r="H53" s="74" t="s">
        <v>54</v>
      </c>
      <c r="I53" s="74" t="s">
        <v>882</v>
      </c>
      <c r="J53" s="72" t="s">
        <v>49</v>
      </c>
      <c r="K53" s="72" t="s">
        <v>928</v>
      </c>
      <c r="L53" s="72" t="s">
        <v>36</v>
      </c>
      <c r="M53" s="82" t="s">
        <v>11</v>
      </c>
      <c r="N53" s="83" t="s">
        <v>10</v>
      </c>
      <c r="O53" s="72" t="s">
        <v>45</v>
      </c>
      <c r="P53" s="3" t="str">
        <f>Capacitors[[#This Row],[Footprint]]</f>
        <v>CAP-0805</v>
      </c>
      <c r="Q53" s="248" t="s">
        <v>1045</v>
      </c>
    </row>
    <row r="54" spans="1:17" x14ac:dyDescent="0.25">
      <c r="A54" s="95">
        <f t="shared" si="0"/>
        <v>53</v>
      </c>
      <c r="B54" s="62" t="s">
        <v>734</v>
      </c>
      <c r="C54" s="174" t="str">
        <f t="shared" si="1"/>
        <v>CAP</v>
      </c>
      <c r="D5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0805 AECQ</v>
      </c>
      <c r="E54" s="72" t="s">
        <v>58</v>
      </c>
      <c r="F54" s="72" t="s">
        <v>51</v>
      </c>
      <c r="G54" s="73" t="s">
        <v>55</v>
      </c>
      <c r="H54" s="74" t="s">
        <v>54</v>
      </c>
      <c r="I54" s="74" t="s">
        <v>882</v>
      </c>
      <c r="J54" s="72" t="s">
        <v>49</v>
      </c>
      <c r="K54" s="72" t="s">
        <v>929</v>
      </c>
      <c r="L54" s="72" t="s">
        <v>913</v>
      </c>
      <c r="M54" s="82" t="s">
        <v>11</v>
      </c>
      <c r="N54" s="83" t="s">
        <v>10</v>
      </c>
      <c r="O54" s="72" t="s">
        <v>45</v>
      </c>
      <c r="P54" s="3" t="str">
        <f>Capacitors[[#This Row],[Footprint]]</f>
        <v>CAP-0805</v>
      </c>
      <c r="Q54" s="249"/>
    </row>
    <row r="55" spans="1:17" x14ac:dyDescent="0.25">
      <c r="A55" s="95">
        <f t="shared" si="0"/>
        <v>54</v>
      </c>
      <c r="B55" s="62" t="s">
        <v>734</v>
      </c>
      <c r="C55" s="174" t="str">
        <f t="shared" si="1"/>
        <v>CAP</v>
      </c>
      <c r="D5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ST 0805 AECQ</v>
      </c>
      <c r="E55" s="72" t="s">
        <v>58</v>
      </c>
      <c r="F55" s="72" t="s">
        <v>51</v>
      </c>
      <c r="G55" s="73" t="s">
        <v>55</v>
      </c>
      <c r="H55" s="74" t="s">
        <v>54</v>
      </c>
      <c r="I55" s="74" t="s">
        <v>884</v>
      </c>
      <c r="J55" s="72" t="s">
        <v>49</v>
      </c>
      <c r="K55" s="72" t="s">
        <v>1310</v>
      </c>
      <c r="L55" s="72" t="s">
        <v>32</v>
      </c>
      <c r="M55" s="82" t="s">
        <v>11</v>
      </c>
      <c r="N55" s="83" t="s">
        <v>10</v>
      </c>
      <c r="O55" s="72" t="s">
        <v>45</v>
      </c>
      <c r="P55" s="3" t="str">
        <f>Capacitors[[#This Row],[Footprint]]</f>
        <v>CAP-0805</v>
      </c>
      <c r="Q55" s="249"/>
    </row>
    <row r="56" spans="1:17" x14ac:dyDescent="0.25">
      <c r="A56" s="95">
        <f t="shared" si="0"/>
        <v>55</v>
      </c>
      <c r="B56" s="62" t="s">
        <v>734</v>
      </c>
      <c r="C56" s="174" t="str">
        <f t="shared" si="1"/>
        <v>CAP</v>
      </c>
      <c r="D5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0805 AECQ</v>
      </c>
      <c r="E56" s="72" t="s">
        <v>58</v>
      </c>
      <c r="F56" s="72" t="s">
        <v>51</v>
      </c>
      <c r="G56" s="73" t="s">
        <v>55</v>
      </c>
      <c r="H56" s="74" t="s">
        <v>54</v>
      </c>
      <c r="I56" s="74" t="s">
        <v>882</v>
      </c>
      <c r="J56" s="72" t="s">
        <v>49</v>
      </c>
      <c r="K56" s="72" t="s">
        <v>1311</v>
      </c>
      <c r="L56" s="72" t="s">
        <v>56</v>
      </c>
      <c r="M56" s="82" t="s">
        <v>11</v>
      </c>
      <c r="N56" s="83" t="s">
        <v>10</v>
      </c>
      <c r="O56" s="72" t="s">
        <v>45</v>
      </c>
      <c r="P56" s="3" t="str">
        <f>Capacitors[[#This Row],[Footprint]]</f>
        <v>CAP-0805</v>
      </c>
      <c r="Q56" s="250"/>
    </row>
    <row r="57" spans="1:17" x14ac:dyDescent="0.25">
      <c r="A57" s="95">
        <f t="shared" si="0"/>
        <v>56</v>
      </c>
      <c r="B57" s="50" t="s">
        <v>735</v>
      </c>
      <c r="C57" s="174" t="str">
        <f t="shared" si="1"/>
        <v>CAP</v>
      </c>
      <c r="D5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220pF 50V 10% X7R NFM 0805 AECQ</v>
      </c>
      <c r="E57" s="45" t="s">
        <v>894</v>
      </c>
      <c r="F57" s="45" t="s">
        <v>51</v>
      </c>
      <c r="G57" s="64" t="s">
        <v>55</v>
      </c>
      <c r="H57" s="49" t="s">
        <v>54</v>
      </c>
      <c r="I57" s="49" t="s">
        <v>882</v>
      </c>
      <c r="J57" s="45" t="s">
        <v>49</v>
      </c>
      <c r="K57" s="45" t="s">
        <v>930</v>
      </c>
      <c r="L57" s="45" t="s">
        <v>913</v>
      </c>
      <c r="M57" s="5" t="s">
        <v>11</v>
      </c>
      <c r="N57" s="46" t="s">
        <v>10</v>
      </c>
      <c r="O57" s="45" t="s">
        <v>45</v>
      </c>
      <c r="P57" s="3" t="str">
        <f>Capacitors[[#This Row],[Footprint]]</f>
        <v>CAP-0805</v>
      </c>
    </row>
    <row r="58" spans="1:17" x14ac:dyDescent="0.25">
      <c r="A58" s="95">
        <f t="shared" si="0"/>
        <v>57</v>
      </c>
      <c r="B58" s="14" t="s">
        <v>736</v>
      </c>
      <c r="C58" s="174" t="str">
        <f t="shared" si="1"/>
        <v>CAP</v>
      </c>
      <c r="D5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0805 AECQ</v>
      </c>
      <c r="E58" s="45" t="s">
        <v>881</v>
      </c>
      <c r="F58" s="45" t="s">
        <v>51</v>
      </c>
      <c r="G58" s="64" t="s">
        <v>55</v>
      </c>
      <c r="H58" s="49" t="s">
        <v>54</v>
      </c>
      <c r="I58" s="66" t="s">
        <v>883</v>
      </c>
      <c r="J58" s="45" t="s">
        <v>49</v>
      </c>
      <c r="K58" s="45" t="s">
        <v>1312</v>
      </c>
      <c r="L58" s="45" t="s">
        <v>32</v>
      </c>
      <c r="M58" s="5" t="s">
        <v>11</v>
      </c>
      <c r="N58" s="46" t="s">
        <v>10</v>
      </c>
      <c r="O58" s="45" t="s">
        <v>45</v>
      </c>
      <c r="P58" s="3" t="str">
        <f>Capacitors[[#This Row],[Footprint]]</f>
        <v>CAP-0805</v>
      </c>
    </row>
    <row r="59" spans="1:17" x14ac:dyDescent="0.25">
      <c r="A59" s="95">
        <f t="shared" si="0"/>
        <v>58</v>
      </c>
      <c r="B59" s="14" t="s">
        <v>736</v>
      </c>
      <c r="C59" s="174" t="str">
        <f t="shared" si="1"/>
        <v>CAP</v>
      </c>
      <c r="D5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0805 AECQ</v>
      </c>
      <c r="E59" s="67" t="s">
        <v>881</v>
      </c>
      <c r="F59" s="67" t="s">
        <v>51</v>
      </c>
      <c r="G59" s="68" t="s">
        <v>55</v>
      </c>
      <c r="H59" s="69" t="s">
        <v>54</v>
      </c>
      <c r="I59" s="66" t="s">
        <v>882</v>
      </c>
      <c r="J59" s="67" t="s">
        <v>49</v>
      </c>
      <c r="K59" s="67" t="s">
        <v>1313</v>
      </c>
      <c r="L59" s="67" t="s">
        <v>56</v>
      </c>
      <c r="M59" s="60" t="s">
        <v>11</v>
      </c>
      <c r="N59" s="81" t="s">
        <v>10</v>
      </c>
      <c r="O59" s="45" t="s">
        <v>45</v>
      </c>
      <c r="P59" s="3" t="str">
        <f>Capacitors[[#This Row],[Footprint]]</f>
        <v>CAP-0805</v>
      </c>
    </row>
    <row r="60" spans="1:17" x14ac:dyDescent="0.25">
      <c r="A60" s="95">
        <f t="shared" si="0"/>
        <v>59</v>
      </c>
      <c r="B60" s="50" t="s">
        <v>737</v>
      </c>
      <c r="C60" s="174" t="str">
        <f t="shared" si="1"/>
        <v>CAP</v>
      </c>
      <c r="D6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OM 0805 AECQ</v>
      </c>
      <c r="E60" s="45" t="s">
        <v>881</v>
      </c>
      <c r="F60" s="45" t="s">
        <v>57</v>
      </c>
      <c r="G60" s="64" t="s">
        <v>55</v>
      </c>
      <c r="H60" s="49" t="s">
        <v>54</v>
      </c>
      <c r="I60" s="49" t="s">
        <v>883</v>
      </c>
      <c r="J60" s="45" t="s">
        <v>49</v>
      </c>
      <c r="K60" s="45" t="s">
        <v>1314</v>
      </c>
      <c r="L60" s="45" t="s">
        <v>32</v>
      </c>
      <c r="M60" s="5" t="s">
        <v>11</v>
      </c>
      <c r="N60" s="46" t="s">
        <v>10</v>
      </c>
      <c r="O60" s="45" t="s">
        <v>45</v>
      </c>
      <c r="P60" s="3" t="str">
        <f>Capacitors[[#This Row],[Footprint]]</f>
        <v>CAP-0805</v>
      </c>
    </row>
    <row r="61" spans="1:17" x14ac:dyDescent="0.25">
      <c r="A61" s="95">
        <f t="shared" si="0"/>
        <v>60</v>
      </c>
      <c r="B61" s="61" t="s">
        <v>737</v>
      </c>
      <c r="C61" s="174" t="str">
        <f t="shared" si="1"/>
        <v>CAP</v>
      </c>
      <c r="D6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OM 0805 AECQ</v>
      </c>
      <c r="E61" s="67" t="s">
        <v>881</v>
      </c>
      <c r="F61" s="67" t="s">
        <v>57</v>
      </c>
      <c r="G61" s="68" t="s">
        <v>55</v>
      </c>
      <c r="H61" s="69" t="s">
        <v>54</v>
      </c>
      <c r="I61" s="69" t="s">
        <v>883</v>
      </c>
      <c r="J61" s="67" t="s">
        <v>49</v>
      </c>
      <c r="K61" s="67" t="s">
        <v>1315</v>
      </c>
      <c r="L61" s="67" t="s">
        <v>32</v>
      </c>
      <c r="M61" s="60" t="s">
        <v>11</v>
      </c>
      <c r="N61" s="81" t="s">
        <v>10</v>
      </c>
      <c r="O61" s="45" t="s">
        <v>45</v>
      </c>
      <c r="P61" s="3" t="str">
        <f>Capacitors[[#This Row],[Footprint]]</f>
        <v>CAP-0805</v>
      </c>
    </row>
    <row r="62" spans="1:17" x14ac:dyDescent="0.25">
      <c r="A62" s="95">
        <f t="shared" si="0"/>
        <v>61</v>
      </c>
      <c r="B62" s="50" t="s">
        <v>738</v>
      </c>
      <c r="C62" s="174" t="str">
        <f t="shared" si="1"/>
        <v>CAP</v>
      </c>
      <c r="D6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NFM 0805 AECQ</v>
      </c>
      <c r="E62" s="45" t="s">
        <v>59</v>
      </c>
      <c r="F62" s="45" t="s">
        <v>57</v>
      </c>
      <c r="G62" s="64" t="s">
        <v>55</v>
      </c>
      <c r="H62" s="49" t="s">
        <v>54</v>
      </c>
      <c r="I62" s="49" t="s">
        <v>882</v>
      </c>
      <c r="J62" s="45" t="s">
        <v>49</v>
      </c>
      <c r="K62" s="67" t="s">
        <v>1307</v>
      </c>
      <c r="L62" s="45" t="s">
        <v>56</v>
      </c>
      <c r="M62" s="5" t="s">
        <v>11</v>
      </c>
      <c r="N62" s="46" t="s">
        <v>10</v>
      </c>
      <c r="O62" s="45" t="s">
        <v>45</v>
      </c>
      <c r="P62" s="3" t="str">
        <f>Capacitors[[#This Row],[Footprint]]</f>
        <v>CAP-0805</v>
      </c>
    </row>
    <row r="63" spans="1:17" x14ac:dyDescent="0.25">
      <c r="A63" s="95">
        <f t="shared" si="0"/>
        <v>62</v>
      </c>
      <c r="B63" s="14" t="s">
        <v>739</v>
      </c>
      <c r="C63" s="174" t="str">
        <f t="shared" si="1"/>
        <v>CAP</v>
      </c>
      <c r="D6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0805 AECQ</v>
      </c>
      <c r="E63" s="45" t="s">
        <v>895</v>
      </c>
      <c r="F63" s="45" t="s">
        <v>51</v>
      </c>
      <c r="G63" s="65" t="s">
        <v>55</v>
      </c>
      <c r="H63" s="66" t="s">
        <v>54</v>
      </c>
      <c r="I63" s="49" t="s">
        <v>882</v>
      </c>
      <c r="J63" s="45" t="s">
        <v>49</v>
      </c>
      <c r="K63" s="45" t="s">
        <v>931</v>
      </c>
      <c r="L63" s="45" t="s">
        <v>32</v>
      </c>
      <c r="M63" s="15" t="s">
        <v>11</v>
      </c>
      <c r="N63" s="46" t="s">
        <v>10</v>
      </c>
      <c r="O63" s="45" t="s">
        <v>45</v>
      </c>
      <c r="P63" s="3" t="str">
        <f>Capacitors[[#This Row],[Footprint]]</f>
        <v>CAP-0805</v>
      </c>
    </row>
    <row r="64" spans="1:17" x14ac:dyDescent="0.25">
      <c r="A64" s="95">
        <f t="shared" si="0"/>
        <v>63</v>
      </c>
      <c r="B64" s="14" t="s">
        <v>739</v>
      </c>
      <c r="C64" s="174" t="str">
        <f t="shared" si="1"/>
        <v>CAP</v>
      </c>
      <c r="D6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0805 AECQ</v>
      </c>
      <c r="E64" s="45" t="s">
        <v>895</v>
      </c>
      <c r="F64" s="45" t="s">
        <v>51</v>
      </c>
      <c r="G64" s="65" t="s">
        <v>55</v>
      </c>
      <c r="H64" s="66" t="s">
        <v>54</v>
      </c>
      <c r="I64" s="49" t="s">
        <v>882</v>
      </c>
      <c r="J64" s="45" t="s">
        <v>49</v>
      </c>
      <c r="K64" s="45" t="s">
        <v>932</v>
      </c>
      <c r="L64" s="45" t="s">
        <v>913</v>
      </c>
      <c r="M64" s="15" t="s">
        <v>11</v>
      </c>
      <c r="N64" s="46" t="s">
        <v>10</v>
      </c>
      <c r="O64" s="45" t="s">
        <v>45</v>
      </c>
      <c r="P64" s="3" t="str">
        <f>Capacitors[[#This Row],[Footprint]]</f>
        <v>CAP-0805</v>
      </c>
    </row>
    <row r="65" spans="1:17" x14ac:dyDescent="0.25">
      <c r="A65" s="95">
        <f t="shared" si="0"/>
        <v>64</v>
      </c>
      <c r="B65" s="14" t="s">
        <v>739</v>
      </c>
      <c r="C65" s="174" t="str">
        <f t="shared" si="1"/>
        <v>CAP</v>
      </c>
      <c r="D6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0805 STD</v>
      </c>
      <c r="E65" s="123" t="s">
        <v>895</v>
      </c>
      <c r="F65" s="123" t="s">
        <v>51</v>
      </c>
      <c r="G65" s="75" t="s">
        <v>55</v>
      </c>
      <c r="H65" s="76" t="s">
        <v>54</v>
      </c>
      <c r="I65" s="124" t="s">
        <v>882</v>
      </c>
      <c r="J65" s="67" t="s">
        <v>49</v>
      </c>
      <c r="K65" s="84" t="s">
        <v>1316</v>
      </c>
      <c r="L65" s="67" t="s">
        <v>36</v>
      </c>
      <c r="M65" s="15" t="s">
        <v>1561</v>
      </c>
      <c r="N65" s="81" t="s">
        <v>10</v>
      </c>
      <c r="O65" s="45" t="s">
        <v>45</v>
      </c>
      <c r="P65" s="3" t="str">
        <f>Capacitors[[#This Row],[Footprint]]</f>
        <v>CAP-0805</v>
      </c>
      <c r="Q65" s="122" t="s">
        <v>1046</v>
      </c>
    </row>
    <row r="66" spans="1:17" x14ac:dyDescent="0.25">
      <c r="A66" s="95">
        <f t="shared" ref="A66:A130" si="2">ROW()-1</f>
        <v>65</v>
      </c>
      <c r="B66" s="14" t="s">
        <v>739</v>
      </c>
      <c r="C66" s="174" t="str">
        <f t="shared" si="1"/>
        <v>CAP</v>
      </c>
      <c r="D6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5% C0G NFM 0805 AECQ</v>
      </c>
      <c r="E66" s="67" t="s">
        <v>895</v>
      </c>
      <c r="F66" s="67" t="s">
        <v>51</v>
      </c>
      <c r="G66" s="65" t="s">
        <v>410</v>
      </c>
      <c r="H66" s="66" t="s">
        <v>889</v>
      </c>
      <c r="I66" s="69" t="s">
        <v>882</v>
      </c>
      <c r="J66" s="67" t="s">
        <v>49</v>
      </c>
      <c r="K66" s="67" t="s">
        <v>1317</v>
      </c>
      <c r="L66" s="67" t="s">
        <v>32</v>
      </c>
      <c r="M66" s="15" t="s">
        <v>11</v>
      </c>
      <c r="N66" s="81" t="s">
        <v>10</v>
      </c>
      <c r="O66" s="45" t="s">
        <v>45</v>
      </c>
      <c r="P66" s="3" t="str">
        <f>Capacitors[[#This Row],[Footprint]]</f>
        <v>CAP-0805</v>
      </c>
      <c r="Q66" s="122" t="s">
        <v>1047</v>
      </c>
    </row>
    <row r="67" spans="1:17" x14ac:dyDescent="0.25">
      <c r="A67" s="95">
        <f t="shared" si="2"/>
        <v>66</v>
      </c>
      <c r="B67" s="50" t="s">
        <v>740</v>
      </c>
      <c r="C67" s="174" t="str">
        <f t="shared" ref="C67:C131" si="3">"CAP"</f>
        <v>CAP</v>
      </c>
      <c r="D6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X7R ST 1206 AECQ</v>
      </c>
      <c r="E67" s="45" t="s">
        <v>885</v>
      </c>
      <c r="F67" s="45" t="s">
        <v>57</v>
      </c>
      <c r="G67" s="64" t="s">
        <v>55</v>
      </c>
      <c r="H67" s="49" t="s">
        <v>54</v>
      </c>
      <c r="I67" s="49" t="s">
        <v>884</v>
      </c>
      <c r="J67" s="12" t="s">
        <v>50</v>
      </c>
      <c r="K67" s="45" t="s">
        <v>1318</v>
      </c>
      <c r="L67" s="45" t="s">
        <v>56</v>
      </c>
      <c r="M67" s="5" t="s">
        <v>11</v>
      </c>
      <c r="N67" s="46" t="s">
        <v>10</v>
      </c>
      <c r="O67" s="45" t="s">
        <v>45</v>
      </c>
      <c r="P67" s="3" t="str">
        <f>Capacitors[[#This Row],[Footprint]]</f>
        <v>CAP-1206</v>
      </c>
    </row>
    <row r="68" spans="1:17" x14ac:dyDescent="0.25">
      <c r="A68" s="95">
        <f t="shared" si="2"/>
        <v>67</v>
      </c>
      <c r="B68" s="50" t="s">
        <v>741</v>
      </c>
      <c r="C68" s="174" t="str">
        <f t="shared" si="3"/>
        <v>CAP</v>
      </c>
      <c r="D6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100V 10% X7S NFM 1210 AECQ</v>
      </c>
      <c r="E68" s="45" t="s">
        <v>896</v>
      </c>
      <c r="F68" s="45" t="s">
        <v>57</v>
      </c>
      <c r="G68" s="64" t="s">
        <v>55</v>
      </c>
      <c r="H68" s="49" t="s">
        <v>886</v>
      </c>
      <c r="I68" s="49" t="s">
        <v>882</v>
      </c>
      <c r="J68" s="12" t="s">
        <v>62</v>
      </c>
      <c r="K68" s="45" t="s">
        <v>1319</v>
      </c>
      <c r="L68" s="45" t="s">
        <v>56</v>
      </c>
      <c r="M68" s="5" t="s">
        <v>11</v>
      </c>
      <c r="N68" s="46" t="s">
        <v>10</v>
      </c>
      <c r="O68" s="45" t="s">
        <v>45</v>
      </c>
      <c r="P68" s="3" t="str">
        <f>Capacitors[[#This Row],[Footprint]]</f>
        <v>CAP-1210</v>
      </c>
    </row>
    <row r="69" spans="1:17" x14ac:dyDescent="0.25">
      <c r="A69" s="95">
        <f t="shared" si="2"/>
        <v>68</v>
      </c>
      <c r="B69" s="14" t="s">
        <v>742</v>
      </c>
      <c r="C69" s="174" t="str">
        <f t="shared" si="3"/>
        <v>CAP</v>
      </c>
      <c r="D6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20% X7R NFM 1210 STD</v>
      </c>
      <c r="E69" s="67" t="s">
        <v>897</v>
      </c>
      <c r="F69" s="67" t="s">
        <v>51</v>
      </c>
      <c r="G69" s="65" t="s">
        <v>125</v>
      </c>
      <c r="H69" s="66" t="s">
        <v>54</v>
      </c>
      <c r="I69" s="66" t="s">
        <v>882</v>
      </c>
      <c r="J69" s="88" t="s">
        <v>62</v>
      </c>
      <c r="K69" s="67" t="s">
        <v>933</v>
      </c>
      <c r="L69" s="67" t="s">
        <v>53</v>
      </c>
      <c r="M69" s="15" t="s">
        <v>1561</v>
      </c>
      <c r="N69" s="81" t="s">
        <v>10</v>
      </c>
      <c r="O69" s="45" t="s">
        <v>45</v>
      </c>
      <c r="P69" s="3" t="str">
        <f>Capacitors[[#This Row],[Footprint]]</f>
        <v>CAP-1210</v>
      </c>
    </row>
    <row r="70" spans="1:17" x14ac:dyDescent="0.25">
      <c r="A70" s="95">
        <f t="shared" si="2"/>
        <v>69</v>
      </c>
      <c r="B70" s="14" t="s">
        <v>742</v>
      </c>
      <c r="C70" s="174" t="str">
        <f t="shared" si="3"/>
        <v>CAP</v>
      </c>
      <c r="D7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10% X7S ST 1210 AECQ</v>
      </c>
      <c r="E70" s="45" t="s">
        <v>897</v>
      </c>
      <c r="F70" s="45" t="s">
        <v>51</v>
      </c>
      <c r="G70" s="65" t="s">
        <v>55</v>
      </c>
      <c r="H70" s="66" t="s">
        <v>886</v>
      </c>
      <c r="I70" s="66" t="s">
        <v>884</v>
      </c>
      <c r="J70" s="12" t="s">
        <v>62</v>
      </c>
      <c r="K70" s="67" t="s">
        <v>934</v>
      </c>
      <c r="L70" s="45" t="s">
        <v>56</v>
      </c>
      <c r="M70" s="15" t="s">
        <v>11</v>
      </c>
      <c r="N70" s="46" t="s">
        <v>10</v>
      </c>
      <c r="O70" s="45" t="s">
        <v>45</v>
      </c>
      <c r="P70" s="3" t="str">
        <f>Capacitors[[#This Row],[Footprint]]</f>
        <v>CAP-1210</v>
      </c>
    </row>
    <row r="71" spans="1:17" x14ac:dyDescent="0.25">
      <c r="A71" s="95">
        <f t="shared" si="2"/>
        <v>70</v>
      </c>
      <c r="B71" s="50" t="s">
        <v>742</v>
      </c>
      <c r="C71" s="174" t="str">
        <f t="shared" si="3"/>
        <v>CAP</v>
      </c>
      <c r="D7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10% X7S NFM 1210 AECQ</v>
      </c>
      <c r="E71" s="45" t="s">
        <v>897</v>
      </c>
      <c r="F71" s="45" t="s">
        <v>51</v>
      </c>
      <c r="G71" s="64" t="s">
        <v>55</v>
      </c>
      <c r="H71" s="49" t="s">
        <v>886</v>
      </c>
      <c r="I71" s="49" t="s">
        <v>882</v>
      </c>
      <c r="J71" s="12" t="s">
        <v>62</v>
      </c>
      <c r="K71" s="45" t="s">
        <v>1320</v>
      </c>
      <c r="L71" s="45" t="s">
        <v>56</v>
      </c>
      <c r="M71" s="5" t="s">
        <v>11</v>
      </c>
      <c r="N71" s="46" t="s">
        <v>10</v>
      </c>
      <c r="O71" s="45" t="s">
        <v>45</v>
      </c>
      <c r="P71" s="3" t="str">
        <f>Capacitors[[#This Row],[Footprint]]</f>
        <v>CAP-1210</v>
      </c>
    </row>
    <row r="72" spans="1:17" x14ac:dyDescent="0.25">
      <c r="A72" s="95">
        <f t="shared" si="2"/>
        <v>71</v>
      </c>
      <c r="B72" s="50" t="s">
        <v>743</v>
      </c>
      <c r="C72" s="174" t="str">
        <f t="shared" si="3"/>
        <v>CAP</v>
      </c>
      <c r="D7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2.2nF 50V 10% X7R ST 0805 AECQ</v>
      </c>
      <c r="E72" s="45" t="s">
        <v>893</v>
      </c>
      <c r="F72" s="45" t="s">
        <v>51</v>
      </c>
      <c r="G72" s="64" t="s">
        <v>55</v>
      </c>
      <c r="H72" s="49" t="s">
        <v>54</v>
      </c>
      <c r="I72" s="49" t="s">
        <v>884</v>
      </c>
      <c r="J72" s="12" t="s">
        <v>49</v>
      </c>
      <c r="K72" s="45" t="s">
        <v>1321</v>
      </c>
      <c r="L72" s="45" t="s">
        <v>56</v>
      </c>
      <c r="M72" s="5" t="s">
        <v>11</v>
      </c>
      <c r="N72" s="46" t="s">
        <v>10</v>
      </c>
      <c r="O72" s="45" t="s">
        <v>45</v>
      </c>
      <c r="P72" s="3" t="str">
        <f>Capacitors[[#This Row],[Footprint]]</f>
        <v>CAP-0805</v>
      </c>
    </row>
    <row r="73" spans="1:17" x14ac:dyDescent="0.25">
      <c r="A73" s="95">
        <f t="shared" si="2"/>
        <v>72</v>
      </c>
      <c r="B73" s="63" t="s">
        <v>743</v>
      </c>
      <c r="C73" s="174" t="str">
        <f t="shared" si="3"/>
        <v>CAP</v>
      </c>
      <c r="D7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 xml:space="preserve">CAP       </v>
      </c>
      <c r="E73" s="54"/>
      <c r="F73" s="54"/>
      <c r="G73" s="34"/>
      <c r="H73" s="34"/>
      <c r="I73" s="34"/>
      <c r="J73" s="85"/>
      <c r="K73" s="54" t="s">
        <v>935</v>
      </c>
      <c r="L73" s="54" t="s">
        <v>958</v>
      </c>
      <c r="M73" s="86"/>
      <c r="N73" s="53" t="s">
        <v>10</v>
      </c>
      <c r="O73" s="54"/>
      <c r="P73" s="3">
        <f>Capacitors[[#This Row],[Footprint]]</f>
        <v>0</v>
      </c>
    </row>
    <row r="74" spans="1:17" x14ac:dyDescent="0.25">
      <c r="A74" s="95">
        <f t="shared" si="2"/>
        <v>73</v>
      </c>
      <c r="B74" s="61" t="s">
        <v>744</v>
      </c>
      <c r="C74" s="174" t="str">
        <f t="shared" si="3"/>
        <v>CAP</v>
      </c>
      <c r="D7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50V 10% X7R ST 1206 AECQ</v>
      </c>
      <c r="E74" s="67" t="s">
        <v>898</v>
      </c>
      <c r="F74" s="67" t="s">
        <v>51</v>
      </c>
      <c r="G74" s="68" t="s">
        <v>55</v>
      </c>
      <c r="H74" s="69" t="s">
        <v>54</v>
      </c>
      <c r="I74" s="69" t="s">
        <v>884</v>
      </c>
      <c r="J74" s="88" t="s">
        <v>50</v>
      </c>
      <c r="K74" s="67" t="s">
        <v>1322</v>
      </c>
      <c r="L74" s="67" t="s">
        <v>56</v>
      </c>
      <c r="M74" s="60" t="s">
        <v>11</v>
      </c>
      <c r="N74" s="81" t="s">
        <v>10</v>
      </c>
      <c r="O74" s="45" t="s">
        <v>45</v>
      </c>
      <c r="P74" s="3" t="str">
        <f>Capacitors[[#This Row],[Footprint]]</f>
        <v>CAP-1206</v>
      </c>
    </row>
    <row r="75" spans="1:17" x14ac:dyDescent="0.25">
      <c r="A75" s="95">
        <f t="shared" si="2"/>
        <v>74</v>
      </c>
      <c r="B75" s="50" t="s">
        <v>745</v>
      </c>
      <c r="C75" s="174" t="str">
        <f t="shared" si="3"/>
        <v>CAP</v>
      </c>
      <c r="D7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0603 AECQ</v>
      </c>
      <c r="E75" s="45" t="s">
        <v>59</v>
      </c>
      <c r="F75" s="45" t="s">
        <v>57</v>
      </c>
      <c r="G75" s="64" t="s">
        <v>55</v>
      </c>
      <c r="H75" s="49" t="s">
        <v>54</v>
      </c>
      <c r="I75" s="49" t="s">
        <v>884</v>
      </c>
      <c r="J75" s="12" t="s">
        <v>46</v>
      </c>
      <c r="K75" s="45" t="s">
        <v>936</v>
      </c>
      <c r="L75" s="45" t="s">
        <v>36</v>
      </c>
      <c r="M75" s="5" t="s">
        <v>11</v>
      </c>
      <c r="N75" s="46" t="s">
        <v>10</v>
      </c>
      <c r="O75" s="45" t="s">
        <v>45</v>
      </c>
      <c r="P75" s="3" t="str">
        <f>Capacitors[[#This Row],[Footprint]]</f>
        <v>CAP-0603</v>
      </c>
    </row>
    <row r="76" spans="1:17" x14ac:dyDescent="0.25">
      <c r="A76" s="95">
        <f t="shared" si="2"/>
        <v>75</v>
      </c>
      <c r="B76" s="50" t="s">
        <v>745</v>
      </c>
      <c r="C76" s="174" t="str">
        <f t="shared" si="3"/>
        <v>CAP</v>
      </c>
      <c r="D7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0603 AECQ</v>
      </c>
      <c r="E76" s="45" t="s">
        <v>59</v>
      </c>
      <c r="F76" s="45" t="s">
        <v>57</v>
      </c>
      <c r="G76" s="64" t="s">
        <v>55</v>
      </c>
      <c r="H76" s="49" t="s">
        <v>54</v>
      </c>
      <c r="I76" s="49" t="s">
        <v>884</v>
      </c>
      <c r="J76" s="12" t="s">
        <v>46</v>
      </c>
      <c r="K76" s="45" t="s">
        <v>1323</v>
      </c>
      <c r="L76" s="45" t="s">
        <v>56</v>
      </c>
      <c r="M76" s="5" t="s">
        <v>11</v>
      </c>
      <c r="N76" s="46" t="s">
        <v>10</v>
      </c>
      <c r="O76" s="45" t="s">
        <v>45</v>
      </c>
      <c r="P76" s="3" t="str">
        <f>Capacitors[[#This Row],[Footprint]]</f>
        <v>CAP-0603</v>
      </c>
    </row>
    <row r="77" spans="1:17" x14ac:dyDescent="0.25">
      <c r="A77" s="95">
        <f t="shared" si="2"/>
        <v>76</v>
      </c>
      <c r="B77" s="14" t="s">
        <v>746</v>
      </c>
      <c r="C77" s="174" t="str">
        <f t="shared" si="3"/>
        <v>CAP</v>
      </c>
      <c r="D7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OM 0603 AECQ</v>
      </c>
      <c r="E77" s="45" t="s">
        <v>61</v>
      </c>
      <c r="F77" s="45" t="s">
        <v>57</v>
      </c>
      <c r="G77" s="64" t="s">
        <v>55</v>
      </c>
      <c r="H77" s="49" t="s">
        <v>54</v>
      </c>
      <c r="I77" s="66" t="s">
        <v>883</v>
      </c>
      <c r="J77" s="12" t="s">
        <v>46</v>
      </c>
      <c r="K77" s="45" t="s">
        <v>1324</v>
      </c>
      <c r="L77" s="45" t="s">
        <v>32</v>
      </c>
      <c r="M77" s="5" t="s">
        <v>11</v>
      </c>
      <c r="N77" s="46" t="s">
        <v>10</v>
      </c>
      <c r="O77" s="45" t="s">
        <v>45</v>
      </c>
      <c r="P77" s="3" t="str">
        <f>Capacitors[[#This Row],[Footprint]]</f>
        <v>CAP-0603</v>
      </c>
    </row>
    <row r="78" spans="1:17" x14ac:dyDescent="0.25">
      <c r="A78" s="95">
        <f t="shared" si="2"/>
        <v>77</v>
      </c>
      <c r="B78" s="14" t="s">
        <v>746</v>
      </c>
      <c r="C78" s="174" t="str">
        <f t="shared" si="3"/>
        <v>CAP</v>
      </c>
      <c r="D7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ST 0603 AECQ</v>
      </c>
      <c r="E78" s="45" t="s">
        <v>61</v>
      </c>
      <c r="F78" s="45" t="s">
        <v>57</v>
      </c>
      <c r="G78" s="64" t="s">
        <v>55</v>
      </c>
      <c r="H78" s="49" t="s">
        <v>54</v>
      </c>
      <c r="I78" s="66" t="s">
        <v>884</v>
      </c>
      <c r="J78" s="12" t="s">
        <v>46</v>
      </c>
      <c r="K78" s="45" t="s">
        <v>1325</v>
      </c>
      <c r="L78" s="45" t="s">
        <v>56</v>
      </c>
      <c r="M78" s="5" t="s">
        <v>11</v>
      </c>
      <c r="N78" s="46" t="s">
        <v>10</v>
      </c>
      <c r="O78" s="45" t="s">
        <v>45</v>
      </c>
      <c r="P78" s="3" t="str">
        <f>Capacitors[[#This Row],[Footprint]]</f>
        <v>CAP-0603</v>
      </c>
    </row>
    <row r="79" spans="1:17" x14ac:dyDescent="0.25">
      <c r="A79" s="95">
        <f t="shared" si="2"/>
        <v>78</v>
      </c>
      <c r="B79" s="14" t="s">
        <v>746</v>
      </c>
      <c r="C79" s="174" t="str">
        <f t="shared" si="3"/>
        <v>CAP</v>
      </c>
      <c r="D7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NFM 0603 AECQ</v>
      </c>
      <c r="E79" s="45" t="s">
        <v>61</v>
      </c>
      <c r="F79" s="45" t="s">
        <v>57</v>
      </c>
      <c r="G79" s="64" t="s">
        <v>55</v>
      </c>
      <c r="H79" s="49" t="s">
        <v>54</v>
      </c>
      <c r="I79" s="66" t="s">
        <v>882</v>
      </c>
      <c r="J79" s="12" t="s">
        <v>46</v>
      </c>
      <c r="K79" s="45" t="s">
        <v>1326</v>
      </c>
      <c r="L79" s="45" t="s">
        <v>56</v>
      </c>
      <c r="M79" s="5" t="s">
        <v>11</v>
      </c>
      <c r="N79" s="46" t="s">
        <v>10</v>
      </c>
      <c r="O79" s="45" t="s">
        <v>45</v>
      </c>
      <c r="P79" s="3" t="str">
        <f>Capacitors[[#This Row],[Footprint]]</f>
        <v>CAP-0603</v>
      </c>
    </row>
    <row r="80" spans="1:17" x14ac:dyDescent="0.25">
      <c r="A80" s="95">
        <f t="shared" si="2"/>
        <v>79</v>
      </c>
      <c r="B80" s="119" t="s">
        <v>747</v>
      </c>
      <c r="C80" s="174" t="str">
        <f t="shared" si="3"/>
        <v>CAP</v>
      </c>
      <c r="D8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50V 10% X7R ST 1206 AECQ</v>
      </c>
      <c r="E80" s="45" t="s">
        <v>898</v>
      </c>
      <c r="F80" s="45" t="s">
        <v>51</v>
      </c>
      <c r="G80" s="64" t="s">
        <v>55</v>
      </c>
      <c r="H80" s="49" t="s">
        <v>54</v>
      </c>
      <c r="I80" s="77" t="s">
        <v>884</v>
      </c>
      <c r="J80" s="12" t="s">
        <v>50</v>
      </c>
      <c r="K80" s="67" t="s">
        <v>1322</v>
      </c>
      <c r="L80" s="45" t="s">
        <v>56</v>
      </c>
      <c r="M80" s="5" t="s">
        <v>11</v>
      </c>
      <c r="N80" s="46" t="s">
        <v>10</v>
      </c>
      <c r="O80" s="45" t="s">
        <v>45</v>
      </c>
      <c r="P80" s="3" t="str">
        <f>Capacitors[[#This Row],[Footprint]]</f>
        <v>CAP-1206</v>
      </c>
    </row>
    <row r="81" spans="1:17" x14ac:dyDescent="0.25">
      <c r="A81" s="95">
        <f t="shared" si="2"/>
        <v>80</v>
      </c>
      <c r="B81" s="119" t="s">
        <v>747</v>
      </c>
      <c r="C81" s="174" t="str">
        <f t="shared" si="3"/>
        <v>CAP</v>
      </c>
      <c r="D8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50V 10% X7R NFM 1206 AECQ</v>
      </c>
      <c r="E81" s="45" t="s">
        <v>898</v>
      </c>
      <c r="F81" s="45" t="s">
        <v>51</v>
      </c>
      <c r="G81" s="64" t="s">
        <v>55</v>
      </c>
      <c r="H81" s="49" t="s">
        <v>54</v>
      </c>
      <c r="I81" s="77" t="s">
        <v>882</v>
      </c>
      <c r="J81" s="12" t="s">
        <v>50</v>
      </c>
      <c r="K81" s="45" t="s">
        <v>1327</v>
      </c>
      <c r="L81" s="45" t="s">
        <v>56</v>
      </c>
      <c r="M81" s="5" t="s">
        <v>11</v>
      </c>
      <c r="N81" s="46" t="s">
        <v>10</v>
      </c>
      <c r="O81" s="45" t="s">
        <v>45</v>
      </c>
      <c r="P81" s="3" t="str">
        <f>Capacitors[[#This Row],[Footprint]]</f>
        <v>CAP-1206</v>
      </c>
    </row>
    <row r="82" spans="1:17" x14ac:dyDescent="0.25">
      <c r="A82" s="164">
        <f t="shared" si="2"/>
        <v>81</v>
      </c>
      <c r="B82" s="61" t="s">
        <v>748</v>
      </c>
      <c r="C82" s="174" t="str">
        <f t="shared" si="3"/>
        <v>CAP</v>
      </c>
      <c r="D8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0805 AECQ</v>
      </c>
      <c r="E82" s="67" t="s">
        <v>59</v>
      </c>
      <c r="F82" s="67" t="s">
        <v>51</v>
      </c>
      <c r="G82" s="68" t="s">
        <v>55</v>
      </c>
      <c r="H82" s="69" t="s">
        <v>54</v>
      </c>
      <c r="I82" s="69" t="s">
        <v>882</v>
      </c>
      <c r="J82" s="88" t="s">
        <v>49</v>
      </c>
      <c r="K82" s="67" t="s">
        <v>1328</v>
      </c>
      <c r="L82" s="67" t="s">
        <v>56</v>
      </c>
      <c r="M82" s="60" t="s">
        <v>11</v>
      </c>
      <c r="N82" s="81" t="s">
        <v>10</v>
      </c>
      <c r="O82" s="67" t="s">
        <v>45</v>
      </c>
      <c r="P82" s="3" t="str">
        <f>Capacitors[[#This Row],[Footprint]]</f>
        <v>CAP-0805</v>
      </c>
    </row>
    <row r="83" spans="1:17" x14ac:dyDescent="0.25">
      <c r="A83" s="95">
        <f t="shared" si="2"/>
        <v>82</v>
      </c>
      <c r="B83" s="14" t="s">
        <v>749</v>
      </c>
      <c r="C83" s="174" t="str">
        <f t="shared" si="3"/>
        <v>CAP</v>
      </c>
      <c r="D8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OM 0805 AECQ</v>
      </c>
      <c r="E83" s="45" t="s">
        <v>61</v>
      </c>
      <c r="F83" s="45" t="s">
        <v>51</v>
      </c>
      <c r="G83" s="65" t="s">
        <v>55</v>
      </c>
      <c r="H83" s="49" t="s">
        <v>54</v>
      </c>
      <c r="I83" s="66" t="s">
        <v>883</v>
      </c>
      <c r="J83" s="12" t="s">
        <v>49</v>
      </c>
      <c r="K83" s="45" t="s">
        <v>1329</v>
      </c>
      <c r="L83" s="45" t="s">
        <v>32</v>
      </c>
      <c r="M83" s="5" t="s">
        <v>11</v>
      </c>
      <c r="N83" s="46" t="s">
        <v>10</v>
      </c>
      <c r="O83" s="45" t="s">
        <v>45</v>
      </c>
      <c r="P83" s="3" t="str">
        <f>Capacitors[[#This Row],[Footprint]]</f>
        <v>CAP-0805</v>
      </c>
    </row>
    <row r="84" spans="1:17" x14ac:dyDescent="0.25">
      <c r="A84" s="95">
        <f t="shared" si="2"/>
        <v>83</v>
      </c>
      <c r="B84" s="14" t="s">
        <v>749</v>
      </c>
      <c r="C84" s="174" t="str">
        <f t="shared" si="3"/>
        <v>CAP</v>
      </c>
      <c r="D8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5% X7R NFM 0805 AECQ</v>
      </c>
      <c r="E84" s="45" t="s">
        <v>61</v>
      </c>
      <c r="F84" s="45" t="s">
        <v>51</v>
      </c>
      <c r="G84" s="65" t="s">
        <v>410</v>
      </c>
      <c r="H84" s="49" t="s">
        <v>54</v>
      </c>
      <c r="I84" s="66" t="s">
        <v>882</v>
      </c>
      <c r="J84" s="12" t="s">
        <v>49</v>
      </c>
      <c r="K84" s="45" t="s">
        <v>1330</v>
      </c>
      <c r="L84" s="45" t="s">
        <v>56</v>
      </c>
      <c r="M84" s="5" t="s">
        <v>11</v>
      </c>
      <c r="N84" s="46" t="s">
        <v>10</v>
      </c>
      <c r="O84" s="45" t="s">
        <v>45</v>
      </c>
      <c r="P84" s="3" t="str">
        <f>Capacitors[[#This Row],[Footprint]]</f>
        <v>CAP-0805</v>
      </c>
    </row>
    <row r="85" spans="1:17" x14ac:dyDescent="0.25">
      <c r="A85" s="95">
        <f t="shared" si="2"/>
        <v>84</v>
      </c>
      <c r="B85" s="50" t="s">
        <v>750</v>
      </c>
      <c r="C85" s="174" t="str">
        <f t="shared" si="3"/>
        <v>CAP</v>
      </c>
      <c r="D8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50V 5% C0G NFM 0805 AECQ</v>
      </c>
      <c r="E85" s="45" t="s">
        <v>887</v>
      </c>
      <c r="F85" s="45" t="s">
        <v>51</v>
      </c>
      <c r="G85" s="64" t="s">
        <v>410</v>
      </c>
      <c r="H85" s="49" t="s">
        <v>889</v>
      </c>
      <c r="I85" s="49" t="s">
        <v>882</v>
      </c>
      <c r="J85" s="12" t="s">
        <v>49</v>
      </c>
      <c r="K85" s="45" t="s">
        <v>995</v>
      </c>
      <c r="L85" s="45" t="s">
        <v>32</v>
      </c>
      <c r="M85" s="5" t="s">
        <v>11</v>
      </c>
      <c r="N85" s="46" t="s">
        <v>10</v>
      </c>
      <c r="O85" s="45" t="s">
        <v>45</v>
      </c>
      <c r="P85" s="3" t="str">
        <f>Capacitors[[#This Row],[Footprint]]</f>
        <v>CAP-0805</v>
      </c>
    </row>
    <row r="86" spans="1:17" x14ac:dyDescent="0.25">
      <c r="A86" s="95">
        <f t="shared" si="2"/>
        <v>85</v>
      </c>
      <c r="B86" s="50" t="s">
        <v>750</v>
      </c>
      <c r="C86" s="174" t="str">
        <f t="shared" si="3"/>
        <v>CAP</v>
      </c>
      <c r="D8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50V 5% C0G NFM 0805 AECQ</v>
      </c>
      <c r="E86" s="45" t="s">
        <v>887</v>
      </c>
      <c r="F86" s="45" t="s">
        <v>51</v>
      </c>
      <c r="G86" s="64" t="s">
        <v>410</v>
      </c>
      <c r="H86" s="49" t="s">
        <v>889</v>
      </c>
      <c r="I86" s="49" t="s">
        <v>882</v>
      </c>
      <c r="J86" s="12" t="s">
        <v>49</v>
      </c>
      <c r="K86" s="45" t="s">
        <v>1331</v>
      </c>
      <c r="L86" s="45" t="s">
        <v>56</v>
      </c>
      <c r="M86" s="5" t="s">
        <v>11</v>
      </c>
      <c r="N86" s="46" t="s">
        <v>10</v>
      </c>
      <c r="O86" s="45" t="s">
        <v>45</v>
      </c>
      <c r="P86" s="3" t="str">
        <f>Capacitors[[#This Row],[Footprint]]</f>
        <v>CAP-0805</v>
      </c>
    </row>
    <row r="87" spans="1:17" x14ac:dyDescent="0.25">
      <c r="A87" s="95">
        <f t="shared" si="2"/>
        <v>86</v>
      </c>
      <c r="B87" s="14" t="s">
        <v>751</v>
      </c>
      <c r="C87" s="174" t="str">
        <f t="shared" si="3"/>
        <v>CAP</v>
      </c>
      <c r="D8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22uF 50V 20% ? ? Radial, Can AECQ</v>
      </c>
      <c r="E87" s="67" t="s">
        <v>899</v>
      </c>
      <c r="F87" s="67" t="s">
        <v>51</v>
      </c>
      <c r="G87" s="68" t="s">
        <v>125</v>
      </c>
      <c r="H87" s="78" t="s">
        <v>250</v>
      </c>
      <c r="I87" s="78" t="s">
        <v>250</v>
      </c>
      <c r="J87" s="23" t="s">
        <v>937</v>
      </c>
      <c r="K87" s="67" t="s">
        <v>938</v>
      </c>
      <c r="L87" s="67" t="s">
        <v>30</v>
      </c>
      <c r="M87" s="60" t="s">
        <v>11</v>
      </c>
      <c r="N87" s="81" t="s">
        <v>10</v>
      </c>
      <c r="O87" s="45" t="s">
        <v>45</v>
      </c>
      <c r="P87" s="3" t="str">
        <f>Capacitors[[#This Row],[Footprint]]</f>
        <v>Radial, Can</v>
      </c>
    </row>
    <row r="88" spans="1:17" x14ac:dyDescent="0.25">
      <c r="A88" s="95">
        <f t="shared" si="2"/>
        <v>87</v>
      </c>
      <c r="B88" s="50" t="s">
        <v>752</v>
      </c>
      <c r="C88" s="174" t="str">
        <f t="shared" si="3"/>
        <v>CAP</v>
      </c>
      <c r="D8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50V 10% X7R NFM 0805 AECQ</v>
      </c>
      <c r="E88" s="67" t="s">
        <v>900</v>
      </c>
      <c r="F88" s="67" t="s">
        <v>51</v>
      </c>
      <c r="G88" s="68" t="s">
        <v>55</v>
      </c>
      <c r="H88" s="49" t="s">
        <v>54</v>
      </c>
      <c r="I88" s="49" t="s">
        <v>882</v>
      </c>
      <c r="J88" s="12" t="s">
        <v>49</v>
      </c>
      <c r="K88" s="67" t="s">
        <v>939</v>
      </c>
      <c r="L88" s="67" t="s">
        <v>913</v>
      </c>
      <c r="M88" s="60" t="s">
        <v>11</v>
      </c>
      <c r="N88" s="81" t="s">
        <v>10</v>
      </c>
      <c r="O88" s="45" t="s">
        <v>45</v>
      </c>
      <c r="P88" s="3" t="str">
        <f>Capacitors[[#This Row],[Footprint]]</f>
        <v>CAP-0805</v>
      </c>
    </row>
    <row r="89" spans="1:17" x14ac:dyDescent="0.25">
      <c r="A89" s="95">
        <f t="shared" si="2"/>
        <v>88</v>
      </c>
      <c r="B89" s="50" t="s">
        <v>752</v>
      </c>
      <c r="C89" s="174" t="str">
        <f t="shared" si="3"/>
        <v>CAP</v>
      </c>
      <c r="D8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50V 10% X7R NFM 0805 AECQ</v>
      </c>
      <c r="E89" s="67" t="s">
        <v>900</v>
      </c>
      <c r="F89" s="67" t="s">
        <v>51</v>
      </c>
      <c r="G89" s="68" t="s">
        <v>55</v>
      </c>
      <c r="H89" s="49" t="s">
        <v>54</v>
      </c>
      <c r="I89" s="49" t="s">
        <v>882</v>
      </c>
      <c r="J89" s="12" t="s">
        <v>49</v>
      </c>
      <c r="K89" s="67" t="s">
        <v>1332</v>
      </c>
      <c r="L89" s="67" t="s">
        <v>32</v>
      </c>
      <c r="M89" s="60" t="s">
        <v>11</v>
      </c>
      <c r="N89" s="81" t="s">
        <v>10</v>
      </c>
      <c r="O89" s="45" t="s">
        <v>45</v>
      </c>
      <c r="P89" s="3" t="str">
        <f>Capacitors[[#This Row],[Footprint]]</f>
        <v>CAP-0805</v>
      </c>
    </row>
    <row r="90" spans="1:17" x14ac:dyDescent="0.25">
      <c r="A90" s="95">
        <f t="shared" si="2"/>
        <v>89</v>
      </c>
      <c r="B90" s="14" t="s">
        <v>753</v>
      </c>
      <c r="C90" s="174" t="str">
        <f t="shared" si="3"/>
        <v>CAP</v>
      </c>
      <c r="D9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20% ? ? Radial, Can AECQ</v>
      </c>
      <c r="E90" s="67" t="s">
        <v>897</v>
      </c>
      <c r="F90" s="67" t="s">
        <v>51</v>
      </c>
      <c r="G90" s="68" t="s">
        <v>125</v>
      </c>
      <c r="H90" s="78" t="s">
        <v>250</v>
      </c>
      <c r="I90" s="78" t="s">
        <v>250</v>
      </c>
      <c r="J90" s="23" t="s">
        <v>937</v>
      </c>
      <c r="K90" s="67" t="s">
        <v>940</v>
      </c>
      <c r="L90" s="67" t="s">
        <v>30</v>
      </c>
      <c r="M90" s="60" t="s">
        <v>11</v>
      </c>
      <c r="N90" s="81" t="s">
        <v>10</v>
      </c>
      <c r="O90" s="45" t="s">
        <v>45</v>
      </c>
      <c r="P90" s="3" t="str">
        <f>Capacitors[[#This Row],[Footprint]]</f>
        <v>Radial, Can</v>
      </c>
    </row>
    <row r="91" spans="1:17" x14ac:dyDescent="0.25">
      <c r="A91" s="95">
        <f t="shared" si="2"/>
        <v>90</v>
      </c>
      <c r="B91" s="50" t="s">
        <v>754</v>
      </c>
      <c r="C91" s="174" t="str">
        <f t="shared" si="3"/>
        <v>CAP</v>
      </c>
      <c r="D9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10V 10% X7R NFM 0805 AECQ</v>
      </c>
      <c r="E91" s="45" t="s">
        <v>897</v>
      </c>
      <c r="F91" s="45" t="s">
        <v>901</v>
      </c>
      <c r="G91" s="64" t="s">
        <v>55</v>
      </c>
      <c r="H91" s="49" t="s">
        <v>54</v>
      </c>
      <c r="I91" s="49" t="s">
        <v>882</v>
      </c>
      <c r="J91" s="12" t="s">
        <v>49</v>
      </c>
      <c r="K91" s="45" t="s">
        <v>1333</v>
      </c>
      <c r="L91" s="45" t="s">
        <v>56</v>
      </c>
      <c r="M91" s="5" t="s">
        <v>11</v>
      </c>
      <c r="N91" s="46" t="s">
        <v>10</v>
      </c>
      <c r="O91" s="45" t="s">
        <v>45</v>
      </c>
      <c r="P91" s="3" t="str">
        <f>Capacitors[[#This Row],[Footprint]]</f>
        <v>CAP-0805</v>
      </c>
    </row>
    <row r="92" spans="1:17" x14ac:dyDescent="0.25">
      <c r="A92" s="95">
        <f t="shared" si="2"/>
        <v>91</v>
      </c>
      <c r="B92" s="14" t="s">
        <v>755</v>
      </c>
      <c r="C92" s="174" t="str">
        <f t="shared" si="3"/>
        <v>CAP</v>
      </c>
      <c r="D9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X7R NFM 1206 AECQ</v>
      </c>
      <c r="E92" s="45" t="s">
        <v>885</v>
      </c>
      <c r="F92" s="7" t="s">
        <v>57</v>
      </c>
      <c r="G92" s="65" t="s">
        <v>55</v>
      </c>
      <c r="H92" s="49" t="s">
        <v>54</v>
      </c>
      <c r="I92" s="66" t="s">
        <v>882</v>
      </c>
      <c r="J92" s="12" t="s">
        <v>50</v>
      </c>
      <c r="K92" s="45" t="s">
        <v>941</v>
      </c>
      <c r="L92" s="45" t="s">
        <v>53</v>
      </c>
      <c r="M92" s="5" t="s">
        <v>11</v>
      </c>
      <c r="N92" s="46" t="s">
        <v>10</v>
      </c>
      <c r="O92" s="45" t="s">
        <v>45</v>
      </c>
      <c r="P92" s="3" t="str">
        <f>Capacitors[[#This Row],[Footprint]]</f>
        <v>CAP-1206</v>
      </c>
    </row>
    <row r="93" spans="1:17" x14ac:dyDescent="0.25">
      <c r="A93" s="95">
        <f t="shared" si="2"/>
        <v>92</v>
      </c>
      <c r="B93" s="14" t="s">
        <v>755</v>
      </c>
      <c r="C93" s="174" t="str">
        <f t="shared" si="3"/>
        <v>CAP</v>
      </c>
      <c r="D9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X7R ST 1206 AECQ</v>
      </c>
      <c r="E93" s="45" t="s">
        <v>885</v>
      </c>
      <c r="F93" s="7" t="s">
        <v>57</v>
      </c>
      <c r="G93" s="65" t="s">
        <v>55</v>
      </c>
      <c r="H93" s="49" t="s">
        <v>54</v>
      </c>
      <c r="I93" s="66" t="s">
        <v>884</v>
      </c>
      <c r="J93" s="12" t="s">
        <v>50</v>
      </c>
      <c r="K93" s="45" t="s">
        <v>1334</v>
      </c>
      <c r="L93" s="45" t="s">
        <v>56</v>
      </c>
      <c r="M93" s="5" t="s">
        <v>11</v>
      </c>
      <c r="N93" s="46" t="s">
        <v>10</v>
      </c>
      <c r="O93" s="45" t="s">
        <v>45</v>
      </c>
      <c r="P93" s="3" t="str">
        <f>Capacitors[[#This Row],[Footprint]]</f>
        <v>CAP-1206</v>
      </c>
    </row>
    <row r="94" spans="1:17" x14ac:dyDescent="0.25">
      <c r="A94" s="95">
        <f t="shared" si="2"/>
        <v>93</v>
      </c>
      <c r="B94" s="14" t="s">
        <v>755</v>
      </c>
      <c r="C94" s="174" t="str">
        <f t="shared" si="3"/>
        <v>CAP</v>
      </c>
      <c r="D9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X7R ST 1206 AECQ</v>
      </c>
      <c r="E94" s="45" t="s">
        <v>885</v>
      </c>
      <c r="F94" s="7" t="s">
        <v>57</v>
      </c>
      <c r="G94" s="65" t="s">
        <v>55</v>
      </c>
      <c r="H94" s="49" t="s">
        <v>54</v>
      </c>
      <c r="I94" s="66" t="s">
        <v>884</v>
      </c>
      <c r="J94" s="12" t="s">
        <v>50</v>
      </c>
      <c r="K94" s="45" t="s">
        <v>1318</v>
      </c>
      <c r="L94" s="45" t="s">
        <v>56</v>
      </c>
      <c r="M94" s="5" t="s">
        <v>11</v>
      </c>
      <c r="N94" s="46" t="s">
        <v>10</v>
      </c>
      <c r="O94" s="45" t="s">
        <v>45</v>
      </c>
      <c r="P94" s="3" t="str">
        <f>Capacitors[[#This Row],[Footprint]]</f>
        <v>CAP-1206</v>
      </c>
    </row>
    <row r="95" spans="1:17" x14ac:dyDescent="0.25">
      <c r="A95" s="95">
        <f t="shared" si="2"/>
        <v>94</v>
      </c>
      <c r="B95" s="14" t="s">
        <v>755</v>
      </c>
      <c r="C95" s="174" t="str">
        <f t="shared" si="3"/>
        <v>CAP</v>
      </c>
      <c r="D9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20% X7R NFM 1206 AECQ</v>
      </c>
      <c r="E95" s="67" t="s">
        <v>885</v>
      </c>
      <c r="F95" s="7" t="s">
        <v>51</v>
      </c>
      <c r="G95" s="65" t="s">
        <v>125</v>
      </c>
      <c r="H95" s="69" t="s">
        <v>54</v>
      </c>
      <c r="I95" s="66" t="s">
        <v>882</v>
      </c>
      <c r="J95" s="88" t="s">
        <v>50</v>
      </c>
      <c r="K95" s="67" t="s">
        <v>942</v>
      </c>
      <c r="L95" s="67" t="s">
        <v>53</v>
      </c>
      <c r="M95" s="60" t="s">
        <v>11</v>
      </c>
      <c r="N95" s="81" t="s">
        <v>10</v>
      </c>
      <c r="O95" s="45" t="s">
        <v>45</v>
      </c>
      <c r="P95" s="3" t="str">
        <f>Capacitors[[#This Row],[Footprint]]</f>
        <v>CAP-1206</v>
      </c>
    </row>
    <row r="96" spans="1:17" s="173" customFormat="1" x14ac:dyDescent="0.25">
      <c r="A96" s="95">
        <f>ROW()-1</f>
        <v>95</v>
      </c>
      <c r="B96" s="14" t="s">
        <v>755</v>
      </c>
      <c r="C96" s="174" t="str">
        <f t="shared" si="3"/>
        <v>CAP</v>
      </c>
      <c r="D9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X7R ST 1206 AECQ</v>
      </c>
      <c r="E96" s="173" t="s">
        <v>885</v>
      </c>
      <c r="F96" s="7" t="s">
        <v>57</v>
      </c>
      <c r="G96" s="65" t="s">
        <v>55</v>
      </c>
      <c r="H96" s="69" t="s">
        <v>54</v>
      </c>
      <c r="I96" s="66" t="s">
        <v>884</v>
      </c>
      <c r="J96" s="88" t="s">
        <v>50</v>
      </c>
      <c r="K96" s="67" t="s">
        <v>1734</v>
      </c>
      <c r="L96" s="67" t="s">
        <v>37</v>
      </c>
      <c r="M96" s="60" t="s">
        <v>11</v>
      </c>
      <c r="N96" s="81" t="s">
        <v>10</v>
      </c>
      <c r="O96" s="173" t="s">
        <v>45</v>
      </c>
      <c r="P96" s="175" t="str">
        <f>Capacitors[[#This Row],[Footprint]]</f>
        <v>CAP-1206</v>
      </c>
      <c r="Q96" s="122"/>
    </row>
    <row r="97" spans="1:16" x14ac:dyDescent="0.25">
      <c r="A97" s="95">
        <f t="shared" si="2"/>
        <v>96</v>
      </c>
      <c r="B97" s="119" t="s">
        <v>756</v>
      </c>
      <c r="C97" s="174" t="str">
        <f t="shared" si="3"/>
        <v>CAP</v>
      </c>
      <c r="D9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0603 AECQ</v>
      </c>
      <c r="E97" s="45" t="s">
        <v>881</v>
      </c>
      <c r="F97" s="45" t="s">
        <v>51</v>
      </c>
      <c r="G97" s="64" t="s">
        <v>55</v>
      </c>
      <c r="H97" s="49" t="s">
        <v>54</v>
      </c>
      <c r="I97" s="77" t="s">
        <v>882</v>
      </c>
      <c r="J97" s="12" t="s">
        <v>46</v>
      </c>
      <c r="K97" s="45" t="s">
        <v>910</v>
      </c>
      <c r="L97" s="45" t="s">
        <v>36</v>
      </c>
      <c r="M97" s="5" t="s">
        <v>11</v>
      </c>
      <c r="N97" s="46" t="s">
        <v>10</v>
      </c>
      <c r="O97" s="45" t="s">
        <v>45</v>
      </c>
      <c r="P97" s="3" t="str">
        <f>Capacitors[[#This Row],[Footprint]]</f>
        <v>CAP-0603</v>
      </c>
    </row>
    <row r="98" spans="1:16" x14ac:dyDescent="0.25">
      <c r="A98" s="95">
        <f t="shared" si="2"/>
        <v>97</v>
      </c>
      <c r="B98" s="119" t="s">
        <v>756</v>
      </c>
      <c r="C98" s="174" t="str">
        <f t="shared" si="3"/>
        <v>CAP</v>
      </c>
      <c r="D9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0603 AECQ</v>
      </c>
      <c r="E98" s="45" t="s">
        <v>881</v>
      </c>
      <c r="F98" s="45" t="s">
        <v>51</v>
      </c>
      <c r="G98" s="64" t="s">
        <v>55</v>
      </c>
      <c r="H98" s="49" t="s">
        <v>54</v>
      </c>
      <c r="I98" s="77" t="s">
        <v>882</v>
      </c>
      <c r="J98" s="12" t="s">
        <v>46</v>
      </c>
      <c r="K98" s="45" t="s">
        <v>911</v>
      </c>
      <c r="L98" s="45" t="s">
        <v>36</v>
      </c>
      <c r="M98" s="5" t="s">
        <v>11</v>
      </c>
      <c r="N98" s="46" t="s">
        <v>10</v>
      </c>
      <c r="O98" s="45" t="s">
        <v>45</v>
      </c>
      <c r="P98" s="3" t="str">
        <f>Capacitors[[#This Row],[Footprint]]</f>
        <v>CAP-0603</v>
      </c>
    </row>
    <row r="99" spans="1:16" x14ac:dyDescent="0.25">
      <c r="A99" s="95">
        <f t="shared" si="2"/>
        <v>98</v>
      </c>
      <c r="B99" s="119" t="s">
        <v>756</v>
      </c>
      <c r="C99" s="174" t="str">
        <f t="shared" si="3"/>
        <v>CAP</v>
      </c>
      <c r="D9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0603 AECQ</v>
      </c>
      <c r="E99" s="45" t="s">
        <v>881</v>
      </c>
      <c r="F99" s="45" t="s">
        <v>51</v>
      </c>
      <c r="G99" s="64" t="s">
        <v>55</v>
      </c>
      <c r="H99" s="49" t="s">
        <v>54</v>
      </c>
      <c r="I99" s="77" t="s">
        <v>883</v>
      </c>
      <c r="J99" s="12" t="s">
        <v>46</v>
      </c>
      <c r="K99" s="45" t="s">
        <v>1278</v>
      </c>
      <c r="L99" s="45" t="s">
        <v>32</v>
      </c>
      <c r="M99" s="5" t="s">
        <v>11</v>
      </c>
      <c r="N99" s="46" t="s">
        <v>10</v>
      </c>
      <c r="O99" s="45" t="s">
        <v>45</v>
      </c>
      <c r="P99" s="3" t="str">
        <f>Capacitors[[#This Row],[Footprint]]</f>
        <v>CAP-0603</v>
      </c>
    </row>
    <row r="100" spans="1:16" x14ac:dyDescent="0.25">
      <c r="A100" s="164">
        <f t="shared" si="2"/>
        <v>99</v>
      </c>
      <c r="B100" s="14" t="s">
        <v>757</v>
      </c>
      <c r="C100" s="174" t="str">
        <f t="shared" si="3"/>
        <v>CAP</v>
      </c>
      <c r="D10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16V 10% X7R NFM 0603 STD</v>
      </c>
      <c r="E100" s="67" t="s">
        <v>900</v>
      </c>
      <c r="F100" s="67" t="s">
        <v>902</v>
      </c>
      <c r="G100" s="68" t="s">
        <v>55</v>
      </c>
      <c r="H100" s="69" t="s">
        <v>54</v>
      </c>
      <c r="I100" s="66" t="s">
        <v>882</v>
      </c>
      <c r="J100" s="88" t="s">
        <v>46</v>
      </c>
      <c r="K100" s="67" t="s">
        <v>1335</v>
      </c>
      <c r="L100" s="67" t="s">
        <v>32</v>
      </c>
      <c r="M100" s="15" t="s">
        <v>1561</v>
      </c>
      <c r="N100" s="81" t="s">
        <v>10</v>
      </c>
      <c r="O100" s="67" t="s">
        <v>45</v>
      </c>
      <c r="P100" s="3" t="str">
        <f>Capacitors[[#This Row],[Footprint]]</f>
        <v>CAP-0603</v>
      </c>
    </row>
    <row r="101" spans="1:16" x14ac:dyDescent="0.25">
      <c r="A101" s="164">
        <f t="shared" si="2"/>
        <v>100</v>
      </c>
      <c r="B101" s="14" t="s">
        <v>757</v>
      </c>
      <c r="C101" s="174" t="str">
        <f t="shared" si="3"/>
        <v>CAP</v>
      </c>
      <c r="D10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16V 10% X7R NFM 0603 AECQ</v>
      </c>
      <c r="E101" s="67" t="s">
        <v>900</v>
      </c>
      <c r="F101" s="67" t="s">
        <v>902</v>
      </c>
      <c r="G101" s="68" t="s">
        <v>55</v>
      </c>
      <c r="H101" s="69" t="s">
        <v>54</v>
      </c>
      <c r="I101" s="66" t="s">
        <v>882</v>
      </c>
      <c r="J101" s="88" t="s">
        <v>46</v>
      </c>
      <c r="K101" s="67" t="s">
        <v>1336</v>
      </c>
      <c r="L101" s="67" t="s">
        <v>913</v>
      </c>
      <c r="M101" s="15" t="s">
        <v>11</v>
      </c>
      <c r="N101" s="81" t="s">
        <v>10</v>
      </c>
      <c r="O101" s="67" t="s">
        <v>45</v>
      </c>
      <c r="P101" s="3" t="str">
        <f>Capacitors[[#This Row],[Footprint]]</f>
        <v>CAP-0603</v>
      </c>
    </row>
    <row r="102" spans="1:16" x14ac:dyDescent="0.25">
      <c r="A102" s="164">
        <f t="shared" si="2"/>
        <v>101</v>
      </c>
      <c r="B102" s="14" t="s">
        <v>757</v>
      </c>
      <c r="C102" s="174" t="str">
        <f t="shared" si="3"/>
        <v>CAP</v>
      </c>
      <c r="D10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16V 10% X7R NFM 0603 AECQ</v>
      </c>
      <c r="E102" s="67" t="s">
        <v>900</v>
      </c>
      <c r="F102" s="67" t="s">
        <v>902</v>
      </c>
      <c r="G102" s="68" t="s">
        <v>55</v>
      </c>
      <c r="H102" s="69" t="s">
        <v>54</v>
      </c>
      <c r="I102" s="66" t="s">
        <v>882</v>
      </c>
      <c r="J102" s="88" t="s">
        <v>46</v>
      </c>
      <c r="K102" s="67" t="s">
        <v>1337</v>
      </c>
      <c r="L102" s="67" t="s">
        <v>32</v>
      </c>
      <c r="M102" s="15" t="s">
        <v>11</v>
      </c>
      <c r="N102" s="81" t="s">
        <v>10</v>
      </c>
      <c r="O102" s="67" t="s">
        <v>45</v>
      </c>
      <c r="P102" s="3" t="str">
        <f>Capacitors[[#This Row],[Footprint]]</f>
        <v>CAP-0603</v>
      </c>
    </row>
    <row r="103" spans="1:16" x14ac:dyDescent="0.25">
      <c r="A103" s="164">
        <f t="shared" si="2"/>
        <v>102</v>
      </c>
      <c r="B103" s="14" t="s">
        <v>757</v>
      </c>
      <c r="C103" s="174" t="str">
        <f t="shared" si="3"/>
        <v>CAP</v>
      </c>
      <c r="D10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16V 10% X7R ST 0603 AECQ</v>
      </c>
      <c r="E103" s="67" t="s">
        <v>900</v>
      </c>
      <c r="F103" s="67" t="s">
        <v>902</v>
      </c>
      <c r="G103" s="68" t="s">
        <v>55</v>
      </c>
      <c r="H103" s="69" t="s">
        <v>54</v>
      </c>
      <c r="I103" s="66" t="s">
        <v>884</v>
      </c>
      <c r="J103" s="88" t="s">
        <v>46</v>
      </c>
      <c r="K103" s="67" t="s">
        <v>1338</v>
      </c>
      <c r="L103" s="67" t="s">
        <v>56</v>
      </c>
      <c r="M103" s="15" t="s">
        <v>11</v>
      </c>
      <c r="N103" s="81" t="s">
        <v>10</v>
      </c>
      <c r="O103" s="67" t="s">
        <v>45</v>
      </c>
      <c r="P103" s="3" t="str">
        <f>Capacitors[[#This Row],[Footprint]]</f>
        <v>CAP-0603</v>
      </c>
    </row>
    <row r="104" spans="1:16" x14ac:dyDescent="0.25">
      <c r="A104" s="164">
        <f t="shared" si="2"/>
        <v>103</v>
      </c>
      <c r="B104" s="119" t="s">
        <v>758</v>
      </c>
      <c r="C104" s="174" t="str">
        <f t="shared" si="3"/>
        <v>CAP</v>
      </c>
      <c r="D10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X5R NFM 0603 STD</v>
      </c>
      <c r="E104" s="67" t="s">
        <v>885</v>
      </c>
      <c r="F104" s="67" t="s">
        <v>51</v>
      </c>
      <c r="G104" s="68" t="s">
        <v>55</v>
      </c>
      <c r="H104" s="77" t="s">
        <v>903</v>
      </c>
      <c r="I104" s="69" t="s">
        <v>882</v>
      </c>
      <c r="J104" s="88" t="s">
        <v>46</v>
      </c>
      <c r="K104" s="67" t="s">
        <v>1339</v>
      </c>
      <c r="L104" s="67" t="s">
        <v>32</v>
      </c>
      <c r="M104" s="165" t="s">
        <v>1561</v>
      </c>
      <c r="N104" s="81" t="s">
        <v>10</v>
      </c>
      <c r="O104" s="67" t="s">
        <v>45</v>
      </c>
      <c r="P104" s="3" t="str">
        <f>Capacitors[[#This Row],[Footprint]]</f>
        <v>CAP-0603</v>
      </c>
    </row>
    <row r="105" spans="1:16" x14ac:dyDescent="0.25">
      <c r="A105" s="95">
        <f t="shared" si="2"/>
        <v>104</v>
      </c>
      <c r="B105" s="119" t="s">
        <v>758</v>
      </c>
      <c r="C105" s="174" t="str">
        <f t="shared" si="3"/>
        <v>CAP</v>
      </c>
      <c r="D10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0603 STD</v>
      </c>
      <c r="E105" s="45" t="s">
        <v>885</v>
      </c>
      <c r="F105" s="45" t="s">
        <v>51</v>
      </c>
      <c r="G105" s="64" t="s">
        <v>55</v>
      </c>
      <c r="H105" s="77" t="s">
        <v>54</v>
      </c>
      <c r="I105" s="49" t="s">
        <v>882</v>
      </c>
      <c r="J105" s="12" t="s">
        <v>46</v>
      </c>
      <c r="K105" s="45" t="s">
        <v>943</v>
      </c>
      <c r="L105" s="45" t="s">
        <v>37</v>
      </c>
      <c r="M105" s="165" t="s">
        <v>1561</v>
      </c>
      <c r="N105" s="46" t="s">
        <v>10</v>
      </c>
      <c r="O105" s="45" t="s">
        <v>45</v>
      </c>
      <c r="P105" s="3" t="str">
        <f>Capacitors[[#This Row],[Footprint]]</f>
        <v>CAP-0603</v>
      </c>
    </row>
    <row r="106" spans="1:16" x14ac:dyDescent="0.25">
      <c r="A106" s="95">
        <f t="shared" si="2"/>
        <v>105</v>
      </c>
      <c r="B106" s="119" t="s">
        <v>758</v>
      </c>
      <c r="C106" s="174" t="str">
        <f t="shared" si="3"/>
        <v>CAP</v>
      </c>
      <c r="D10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X5R NFM 0603 AECQ</v>
      </c>
      <c r="E106" s="45" t="s">
        <v>885</v>
      </c>
      <c r="F106" s="45" t="s">
        <v>51</v>
      </c>
      <c r="G106" s="64" t="s">
        <v>55</v>
      </c>
      <c r="H106" s="77" t="s">
        <v>903</v>
      </c>
      <c r="I106" s="49" t="s">
        <v>882</v>
      </c>
      <c r="J106" s="12" t="s">
        <v>46</v>
      </c>
      <c r="K106" s="45" t="s">
        <v>1340</v>
      </c>
      <c r="L106" s="45" t="s">
        <v>56</v>
      </c>
      <c r="M106" s="165" t="s">
        <v>11</v>
      </c>
      <c r="N106" s="46" t="s">
        <v>10</v>
      </c>
      <c r="O106" s="45" t="s">
        <v>45</v>
      </c>
      <c r="P106" s="3" t="str">
        <f>Capacitors[[#This Row],[Footprint]]</f>
        <v>CAP-0603</v>
      </c>
    </row>
    <row r="107" spans="1:16" x14ac:dyDescent="0.25">
      <c r="A107" s="95">
        <f t="shared" si="2"/>
        <v>106</v>
      </c>
      <c r="B107" s="14" t="s">
        <v>759</v>
      </c>
      <c r="C107" s="174" t="str">
        <f t="shared" si="3"/>
        <v>CAP</v>
      </c>
      <c r="D10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16V 10% X7S NFM 0805 AECQ</v>
      </c>
      <c r="E107" s="45" t="s">
        <v>897</v>
      </c>
      <c r="F107" s="45" t="s">
        <v>902</v>
      </c>
      <c r="G107" s="64" t="s">
        <v>55</v>
      </c>
      <c r="H107" s="49" t="s">
        <v>886</v>
      </c>
      <c r="I107" s="49" t="s">
        <v>882</v>
      </c>
      <c r="J107" s="12" t="s">
        <v>49</v>
      </c>
      <c r="K107" s="45" t="s">
        <v>1341</v>
      </c>
      <c r="L107" s="45" t="s">
        <v>32</v>
      </c>
      <c r="M107" s="15" t="s">
        <v>11</v>
      </c>
      <c r="N107" s="46" t="s">
        <v>10</v>
      </c>
      <c r="O107" s="45" t="s">
        <v>45</v>
      </c>
      <c r="P107" s="3" t="str">
        <f>Capacitors[[#This Row],[Footprint]]</f>
        <v>CAP-0805</v>
      </c>
    </row>
    <row r="108" spans="1:16" x14ac:dyDescent="0.25">
      <c r="A108" s="95">
        <f t="shared" si="2"/>
        <v>107</v>
      </c>
      <c r="B108" s="14" t="s">
        <v>759</v>
      </c>
      <c r="C108" s="174" t="str">
        <f t="shared" si="3"/>
        <v>CAP</v>
      </c>
      <c r="D10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16V 10% X7S NFM 0805 AECQ</v>
      </c>
      <c r="E108" s="45" t="s">
        <v>897</v>
      </c>
      <c r="F108" s="45" t="s">
        <v>902</v>
      </c>
      <c r="G108" s="64" t="s">
        <v>55</v>
      </c>
      <c r="H108" s="49" t="s">
        <v>886</v>
      </c>
      <c r="I108" s="49" t="s">
        <v>882</v>
      </c>
      <c r="J108" s="12" t="s">
        <v>49</v>
      </c>
      <c r="K108" s="45" t="s">
        <v>944</v>
      </c>
      <c r="L108" s="45" t="s">
        <v>53</v>
      </c>
      <c r="M108" s="15" t="s">
        <v>11</v>
      </c>
      <c r="N108" s="46" t="s">
        <v>10</v>
      </c>
      <c r="O108" s="45" t="s">
        <v>45</v>
      </c>
      <c r="P108" s="3" t="str">
        <f>Capacitors[[#This Row],[Footprint]]</f>
        <v>CAP-0805</v>
      </c>
    </row>
    <row r="109" spans="1:16" x14ac:dyDescent="0.25">
      <c r="A109" s="95">
        <f t="shared" si="2"/>
        <v>108</v>
      </c>
      <c r="B109" s="14" t="s">
        <v>759</v>
      </c>
      <c r="C109" s="174" t="str">
        <f t="shared" si="3"/>
        <v>CAP</v>
      </c>
      <c r="D10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16V 10% X7S NFM 0805 STD</v>
      </c>
      <c r="E109" s="45" t="s">
        <v>897</v>
      </c>
      <c r="F109" s="45" t="s">
        <v>902</v>
      </c>
      <c r="G109" s="64" t="s">
        <v>55</v>
      </c>
      <c r="H109" s="49" t="s">
        <v>886</v>
      </c>
      <c r="I109" s="49" t="s">
        <v>882</v>
      </c>
      <c r="J109" s="12" t="s">
        <v>49</v>
      </c>
      <c r="K109" s="45" t="s">
        <v>1342</v>
      </c>
      <c r="L109" s="45" t="s">
        <v>56</v>
      </c>
      <c r="M109" s="15" t="s">
        <v>1561</v>
      </c>
      <c r="N109" s="46" t="s">
        <v>10</v>
      </c>
      <c r="O109" s="45" t="s">
        <v>45</v>
      </c>
      <c r="P109" s="3" t="str">
        <f>Capacitors[[#This Row],[Footprint]]</f>
        <v>CAP-0805</v>
      </c>
    </row>
    <row r="110" spans="1:16" x14ac:dyDescent="0.25">
      <c r="A110" s="95">
        <f t="shared" si="2"/>
        <v>109</v>
      </c>
      <c r="B110" s="50" t="s">
        <v>760</v>
      </c>
      <c r="C110" s="174" t="str">
        <f t="shared" si="3"/>
        <v>CAP</v>
      </c>
      <c r="D11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0603 AECQ</v>
      </c>
      <c r="E110" s="45" t="s">
        <v>895</v>
      </c>
      <c r="F110" s="45" t="s">
        <v>51</v>
      </c>
      <c r="G110" s="64" t="s">
        <v>55</v>
      </c>
      <c r="H110" s="49" t="s">
        <v>54</v>
      </c>
      <c r="I110" s="49" t="s">
        <v>882</v>
      </c>
      <c r="J110" s="12" t="s">
        <v>46</v>
      </c>
      <c r="K110" s="45" t="s">
        <v>945</v>
      </c>
      <c r="L110" s="45" t="s">
        <v>36</v>
      </c>
      <c r="M110" s="5" t="s">
        <v>11</v>
      </c>
      <c r="N110" s="46" t="s">
        <v>10</v>
      </c>
      <c r="O110" s="45" t="s">
        <v>45</v>
      </c>
      <c r="P110" s="3" t="str">
        <f>Capacitors[[#This Row],[Footprint]]</f>
        <v>CAP-0603</v>
      </c>
    </row>
    <row r="111" spans="1:16" x14ac:dyDescent="0.25">
      <c r="A111" s="164">
        <f t="shared" si="2"/>
        <v>110</v>
      </c>
      <c r="B111" s="61" t="s">
        <v>761</v>
      </c>
      <c r="C111" s="174" t="str">
        <f t="shared" si="3"/>
        <v>CAP</v>
      </c>
      <c r="D11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ST 0805 AECQ</v>
      </c>
      <c r="E111" s="67" t="s">
        <v>59</v>
      </c>
      <c r="F111" s="67" t="s">
        <v>51</v>
      </c>
      <c r="G111" s="68" t="s">
        <v>55</v>
      </c>
      <c r="H111" s="69" t="s">
        <v>54</v>
      </c>
      <c r="I111" s="69" t="s">
        <v>884</v>
      </c>
      <c r="J111" s="88" t="s">
        <v>49</v>
      </c>
      <c r="K111" s="67" t="s">
        <v>946</v>
      </c>
      <c r="L111" s="67" t="s">
        <v>37</v>
      </c>
      <c r="M111" s="60" t="s">
        <v>11</v>
      </c>
      <c r="N111" s="81" t="s">
        <v>10</v>
      </c>
      <c r="O111" s="67" t="s">
        <v>45</v>
      </c>
      <c r="P111" s="3" t="str">
        <f>Capacitors[[#This Row],[Footprint]]</f>
        <v>CAP-0805</v>
      </c>
    </row>
    <row r="112" spans="1:16" x14ac:dyDescent="0.25">
      <c r="A112" s="164">
        <f t="shared" si="2"/>
        <v>111</v>
      </c>
      <c r="B112" s="61" t="s">
        <v>761</v>
      </c>
      <c r="C112" s="174" t="str">
        <f t="shared" si="3"/>
        <v>CAP</v>
      </c>
      <c r="D11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ST 0805 AECQ</v>
      </c>
      <c r="E112" s="67" t="s">
        <v>59</v>
      </c>
      <c r="F112" s="67" t="s">
        <v>51</v>
      </c>
      <c r="G112" s="68" t="s">
        <v>55</v>
      </c>
      <c r="H112" s="69" t="s">
        <v>54</v>
      </c>
      <c r="I112" s="69" t="s">
        <v>884</v>
      </c>
      <c r="J112" s="88" t="s">
        <v>49</v>
      </c>
      <c r="K112" s="67" t="s">
        <v>1284</v>
      </c>
      <c r="L112" s="67" t="s">
        <v>37</v>
      </c>
      <c r="M112" s="60" t="s">
        <v>11</v>
      </c>
      <c r="N112" s="81" t="s">
        <v>10</v>
      </c>
      <c r="O112" s="67" t="s">
        <v>45</v>
      </c>
      <c r="P112" s="3" t="str">
        <f>Capacitors[[#This Row],[Footprint]]</f>
        <v>CAP-0805</v>
      </c>
    </row>
    <row r="113" spans="1:16" x14ac:dyDescent="0.25">
      <c r="A113" s="164">
        <f t="shared" si="2"/>
        <v>112</v>
      </c>
      <c r="B113" s="61" t="s">
        <v>761</v>
      </c>
      <c r="C113" s="174" t="str">
        <f t="shared" si="3"/>
        <v>CAP</v>
      </c>
      <c r="D11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ST 0805 AECQ</v>
      </c>
      <c r="E113" s="67" t="s">
        <v>59</v>
      </c>
      <c r="F113" s="67" t="s">
        <v>51</v>
      </c>
      <c r="G113" s="68" t="s">
        <v>55</v>
      </c>
      <c r="H113" s="69" t="s">
        <v>54</v>
      </c>
      <c r="I113" s="69" t="s">
        <v>884</v>
      </c>
      <c r="J113" s="88" t="s">
        <v>49</v>
      </c>
      <c r="K113" s="67" t="s">
        <v>1283</v>
      </c>
      <c r="L113" s="67" t="s">
        <v>56</v>
      </c>
      <c r="M113" s="60" t="s">
        <v>11</v>
      </c>
      <c r="N113" s="81" t="s">
        <v>10</v>
      </c>
      <c r="O113" s="67" t="s">
        <v>45</v>
      </c>
      <c r="P113" s="3" t="str">
        <f>Capacitors[[#This Row],[Footprint]]</f>
        <v>CAP-0805</v>
      </c>
    </row>
    <row r="114" spans="1:16" x14ac:dyDescent="0.25">
      <c r="A114" s="164">
        <f t="shared" si="2"/>
        <v>113</v>
      </c>
      <c r="B114" s="61" t="s">
        <v>761</v>
      </c>
      <c r="C114" s="174" t="str">
        <f t="shared" si="3"/>
        <v>CAP</v>
      </c>
      <c r="D11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OM 0805 AECQ</v>
      </c>
      <c r="E114" s="67" t="s">
        <v>59</v>
      </c>
      <c r="F114" s="67" t="s">
        <v>51</v>
      </c>
      <c r="G114" s="68" t="s">
        <v>55</v>
      </c>
      <c r="H114" s="69" t="s">
        <v>54</v>
      </c>
      <c r="I114" s="69" t="s">
        <v>883</v>
      </c>
      <c r="J114" s="88" t="s">
        <v>49</v>
      </c>
      <c r="K114" s="67" t="s">
        <v>912</v>
      </c>
      <c r="L114" s="67" t="s">
        <v>913</v>
      </c>
      <c r="M114" s="60" t="s">
        <v>11</v>
      </c>
      <c r="N114" s="81" t="s">
        <v>10</v>
      </c>
      <c r="O114" s="67" t="s">
        <v>45</v>
      </c>
      <c r="P114" s="3" t="str">
        <f>Capacitors[[#This Row],[Footprint]]</f>
        <v>CAP-0805</v>
      </c>
    </row>
    <row r="115" spans="1:16" x14ac:dyDescent="0.25">
      <c r="A115" s="164">
        <f t="shared" si="2"/>
        <v>114</v>
      </c>
      <c r="B115" s="61" t="s">
        <v>761</v>
      </c>
      <c r="C115" s="174" t="str">
        <f t="shared" si="3"/>
        <v>CAP</v>
      </c>
      <c r="D11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OM 0805 AECQ</v>
      </c>
      <c r="E115" s="67" t="s">
        <v>59</v>
      </c>
      <c r="F115" s="67" t="s">
        <v>51</v>
      </c>
      <c r="G115" s="68" t="s">
        <v>55</v>
      </c>
      <c r="H115" s="69" t="s">
        <v>54</v>
      </c>
      <c r="I115" s="69" t="s">
        <v>883</v>
      </c>
      <c r="J115" s="88" t="s">
        <v>49</v>
      </c>
      <c r="K115" s="67" t="s">
        <v>1282</v>
      </c>
      <c r="L115" s="67" t="s">
        <v>32</v>
      </c>
      <c r="M115" s="60" t="s">
        <v>11</v>
      </c>
      <c r="N115" s="81" t="s">
        <v>10</v>
      </c>
      <c r="O115" s="67" t="s">
        <v>45</v>
      </c>
      <c r="P115" s="3" t="str">
        <f>Capacitors[[#This Row],[Footprint]]</f>
        <v>CAP-0805</v>
      </c>
    </row>
    <row r="116" spans="1:16" x14ac:dyDescent="0.25">
      <c r="A116" s="164">
        <f t="shared" si="2"/>
        <v>115</v>
      </c>
      <c r="B116" s="14" t="s">
        <v>762</v>
      </c>
      <c r="C116" s="174" t="str">
        <f t="shared" si="3"/>
        <v>CAP</v>
      </c>
      <c r="D11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5% C0G NFM 0805 AECQ</v>
      </c>
      <c r="E116" s="67" t="s">
        <v>881</v>
      </c>
      <c r="F116" s="67" t="s">
        <v>51</v>
      </c>
      <c r="G116" s="65" t="s">
        <v>410</v>
      </c>
      <c r="H116" s="66" t="s">
        <v>889</v>
      </c>
      <c r="I116" s="66" t="s">
        <v>882</v>
      </c>
      <c r="J116" s="23" t="s">
        <v>49</v>
      </c>
      <c r="K116" s="67" t="s">
        <v>1343</v>
      </c>
      <c r="L116" s="67" t="s">
        <v>32</v>
      </c>
      <c r="M116" s="60" t="s">
        <v>11</v>
      </c>
      <c r="N116" s="81" t="s">
        <v>10</v>
      </c>
      <c r="O116" s="67" t="s">
        <v>45</v>
      </c>
      <c r="P116" s="3" t="str">
        <f>Capacitors[[#This Row],[Footprint]]</f>
        <v>CAP-0805</v>
      </c>
    </row>
    <row r="117" spans="1:16" x14ac:dyDescent="0.25">
      <c r="A117" s="164">
        <f t="shared" si="2"/>
        <v>116</v>
      </c>
      <c r="B117" s="14" t="s">
        <v>762</v>
      </c>
      <c r="C117" s="174" t="str">
        <f t="shared" si="3"/>
        <v>CAP</v>
      </c>
      <c r="D11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0805 AECQ</v>
      </c>
      <c r="E117" s="67" t="s">
        <v>881</v>
      </c>
      <c r="F117" s="67" t="s">
        <v>51</v>
      </c>
      <c r="G117" s="65" t="s">
        <v>55</v>
      </c>
      <c r="H117" s="66" t="s">
        <v>54</v>
      </c>
      <c r="I117" s="66" t="s">
        <v>883</v>
      </c>
      <c r="J117" s="23" t="s">
        <v>49</v>
      </c>
      <c r="K117" s="67" t="s">
        <v>1312</v>
      </c>
      <c r="L117" s="67" t="s">
        <v>32</v>
      </c>
      <c r="M117" s="60" t="s">
        <v>11</v>
      </c>
      <c r="N117" s="81" t="s">
        <v>10</v>
      </c>
      <c r="O117" s="67" t="s">
        <v>45</v>
      </c>
      <c r="P117" s="3" t="str">
        <f>Capacitors[[#This Row],[Footprint]]</f>
        <v>CAP-0805</v>
      </c>
    </row>
    <row r="118" spans="1:16" x14ac:dyDescent="0.25">
      <c r="A118" s="164">
        <f t="shared" si="2"/>
        <v>117</v>
      </c>
      <c r="B118" s="14" t="s">
        <v>762</v>
      </c>
      <c r="C118" s="174" t="str">
        <f t="shared" si="3"/>
        <v>CAP</v>
      </c>
      <c r="D11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0603 AECQ</v>
      </c>
      <c r="E118" s="67" t="s">
        <v>881</v>
      </c>
      <c r="F118" s="67" t="s">
        <v>51</v>
      </c>
      <c r="G118" s="65" t="s">
        <v>55</v>
      </c>
      <c r="H118" s="66" t="s">
        <v>54</v>
      </c>
      <c r="I118" s="66" t="s">
        <v>883</v>
      </c>
      <c r="J118" s="23" t="s">
        <v>46</v>
      </c>
      <c r="K118" s="67" t="s">
        <v>1278</v>
      </c>
      <c r="L118" s="67" t="s">
        <v>32</v>
      </c>
      <c r="M118" s="60" t="s">
        <v>11</v>
      </c>
      <c r="N118" s="81" t="s">
        <v>10</v>
      </c>
      <c r="O118" s="67" t="s">
        <v>45</v>
      </c>
      <c r="P118" s="3" t="str">
        <f>Capacitors[[#This Row],[Footprint]]</f>
        <v>CAP-0603</v>
      </c>
    </row>
    <row r="119" spans="1:16" x14ac:dyDescent="0.25">
      <c r="A119" s="164">
        <f t="shared" si="2"/>
        <v>118</v>
      </c>
      <c r="B119" s="14" t="s">
        <v>762</v>
      </c>
      <c r="C119" s="174" t="str">
        <f t="shared" si="3"/>
        <v>CAP</v>
      </c>
      <c r="D11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0805 AECQ</v>
      </c>
      <c r="E119" s="67" t="s">
        <v>881</v>
      </c>
      <c r="F119" s="67" t="s">
        <v>51</v>
      </c>
      <c r="G119" s="65" t="s">
        <v>55</v>
      </c>
      <c r="H119" s="66" t="s">
        <v>54</v>
      </c>
      <c r="I119" s="66" t="s">
        <v>882</v>
      </c>
      <c r="J119" s="23" t="s">
        <v>49</v>
      </c>
      <c r="K119" s="67" t="s">
        <v>947</v>
      </c>
      <c r="L119" s="67" t="s">
        <v>32</v>
      </c>
      <c r="M119" s="60" t="s">
        <v>11</v>
      </c>
      <c r="N119" s="81" t="s">
        <v>10</v>
      </c>
      <c r="O119" s="67" t="s">
        <v>45</v>
      </c>
      <c r="P119" s="3" t="str">
        <f>Capacitors[[#This Row],[Footprint]]</f>
        <v>CAP-0805</v>
      </c>
    </row>
    <row r="120" spans="1:16" x14ac:dyDescent="0.25">
      <c r="A120" s="164">
        <f t="shared" si="2"/>
        <v>119</v>
      </c>
      <c r="B120" s="119" t="s">
        <v>763</v>
      </c>
      <c r="C120" s="174" t="str">
        <f t="shared" si="3"/>
        <v>CAP</v>
      </c>
      <c r="D12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NFM 0805 AECQ</v>
      </c>
      <c r="E120" s="67" t="s">
        <v>885</v>
      </c>
      <c r="F120" s="71" t="s">
        <v>57</v>
      </c>
      <c r="G120" s="68" t="s">
        <v>55</v>
      </c>
      <c r="H120" s="69" t="s">
        <v>886</v>
      </c>
      <c r="I120" s="69" t="s">
        <v>882</v>
      </c>
      <c r="J120" s="88" t="s">
        <v>49</v>
      </c>
      <c r="K120" s="67" t="s">
        <v>1287</v>
      </c>
      <c r="L120" s="67" t="s">
        <v>32</v>
      </c>
      <c r="M120" s="60" t="s">
        <v>11</v>
      </c>
      <c r="N120" s="81" t="s">
        <v>10</v>
      </c>
      <c r="O120" s="67" t="s">
        <v>45</v>
      </c>
      <c r="P120" s="3" t="str">
        <f>Capacitors[[#This Row],[Footprint]]</f>
        <v>CAP-0805</v>
      </c>
    </row>
    <row r="121" spans="1:16" x14ac:dyDescent="0.25">
      <c r="A121" s="164">
        <f t="shared" si="2"/>
        <v>120</v>
      </c>
      <c r="B121" s="119" t="s">
        <v>763</v>
      </c>
      <c r="C121" s="174" t="str">
        <f t="shared" si="3"/>
        <v>CAP</v>
      </c>
      <c r="D12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121" s="67" t="s">
        <v>885</v>
      </c>
      <c r="F121" s="71" t="s">
        <v>51</v>
      </c>
      <c r="G121" s="68" t="s">
        <v>55</v>
      </c>
      <c r="H121" s="69" t="s">
        <v>54</v>
      </c>
      <c r="I121" s="69" t="s">
        <v>882</v>
      </c>
      <c r="J121" s="88" t="s">
        <v>49</v>
      </c>
      <c r="K121" s="67" t="s">
        <v>1289</v>
      </c>
      <c r="L121" s="67" t="s">
        <v>56</v>
      </c>
      <c r="M121" s="60" t="s">
        <v>11</v>
      </c>
      <c r="N121" s="81" t="s">
        <v>10</v>
      </c>
      <c r="O121" s="67" t="s">
        <v>45</v>
      </c>
      <c r="P121" s="3" t="str">
        <f>Capacitors[[#This Row],[Footprint]]</f>
        <v>CAP-0805</v>
      </c>
    </row>
    <row r="122" spans="1:16" x14ac:dyDescent="0.25">
      <c r="A122" s="95">
        <f t="shared" si="2"/>
        <v>121</v>
      </c>
      <c r="B122" s="50" t="s">
        <v>764</v>
      </c>
      <c r="C122" s="174" t="str">
        <f t="shared" si="3"/>
        <v>CAP</v>
      </c>
      <c r="D12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0603 AECQ</v>
      </c>
      <c r="E122" s="45" t="s">
        <v>881</v>
      </c>
      <c r="F122" s="45" t="s">
        <v>51</v>
      </c>
      <c r="G122" s="64" t="s">
        <v>55</v>
      </c>
      <c r="H122" s="49" t="s">
        <v>54</v>
      </c>
      <c r="I122" s="49" t="s">
        <v>882</v>
      </c>
      <c r="J122" s="12" t="s">
        <v>46</v>
      </c>
      <c r="K122" s="45" t="s">
        <v>911</v>
      </c>
      <c r="L122" s="45" t="s">
        <v>36</v>
      </c>
      <c r="M122" s="5" t="s">
        <v>11</v>
      </c>
      <c r="N122" s="46" t="s">
        <v>10</v>
      </c>
      <c r="O122" s="45" t="s">
        <v>45</v>
      </c>
      <c r="P122" s="3" t="str">
        <f>Capacitors[[#This Row],[Footprint]]</f>
        <v>CAP-0603</v>
      </c>
    </row>
    <row r="123" spans="1:16" x14ac:dyDescent="0.25">
      <c r="A123" s="95">
        <f t="shared" si="2"/>
        <v>122</v>
      </c>
      <c r="B123" s="50" t="s">
        <v>765</v>
      </c>
      <c r="C123" s="174" t="str">
        <f t="shared" si="3"/>
        <v>CAP</v>
      </c>
      <c r="D12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123" s="45" t="s">
        <v>885</v>
      </c>
      <c r="F123" s="45" t="s">
        <v>51</v>
      </c>
      <c r="G123" s="64" t="s">
        <v>55</v>
      </c>
      <c r="H123" s="49" t="s">
        <v>54</v>
      </c>
      <c r="I123" s="49" t="s">
        <v>882</v>
      </c>
      <c r="J123" s="12" t="s">
        <v>49</v>
      </c>
      <c r="K123" s="45" t="s">
        <v>1289</v>
      </c>
      <c r="L123" s="45" t="s">
        <v>56</v>
      </c>
      <c r="M123" s="5" t="s">
        <v>11</v>
      </c>
      <c r="N123" s="46" t="s">
        <v>10</v>
      </c>
      <c r="O123" s="45" t="s">
        <v>45</v>
      </c>
      <c r="P123" s="3" t="str">
        <f>Capacitors[[#This Row],[Footprint]]</f>
        <v>CAP-0805</v>
      </c>
    </row>
    <row r="124" spans="1:16" x14ac:dyDescent="0.25">
      <c r="A124" s="164">
        <f t="shared" si="2"/>
        <v>123</v>
      </c>
      <c r="B124" s="61" t="s">
        <v>766</v>
      </c>
      <c r="C124" s="174" t="str">
        <f t="shared" si="3"/>
        <v>CAP</v>
      </c>
      <c r="D12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ST 0805 AECQ</v>
      </c>
      <c r="E124" s="67" t="s">
        <v>885</v>
      </c>
      <c r="F124" s="67" t="s">
        <v>51</v>
      </c>
      <c r="G124" s="68" t="s">
        <v>55</v>
      </c>
      <c r="H124" s="69" t="s">
        <v>54</v>
      </c>
      <c r="I124" s="69" t="s">
        <v>884</v>
      </c>
      <c r="J124" s="88" t="s">
        <v>49</v>
      </c>
      <c r="K124" s="67" t="s">
        <v>1288</v>
      </c>
      <c r="L124" s="67" t="s">
        <v>56</v>
      </c>
      <c r="M124" s="60" t="s">
        <v>11</v>
      </c>
      <c r="N124" s="81" t="s">
        <v>10</v>
      </c>
      <c r="O124" s="67" t="s">
        <v>45</v>
      </c>
      <c r="P124" s="3" t="str">
        <f>Capacitors[[#This Row],[Footprint]]</f>
        <v>CAP-0805</v>
      </c>
    </row>
    <row r="125" spans="1:16" x14ac:dyDescent="0.25">
      <c r="A125" s="95">
        <f t="shared" si="2"/>
        <v>124</v>
      </c>
      <c r="B125" s="14" t="s">
        <v>767</v>
      </c>
      <c r="C125" s="174" t="str">
        <f t="shared" si="3"/>
        <v>CAP</v>
      </c>
      <c r="D12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50V 10% X7R NFM 1206 AECQ</v>
      </c>
      <c r="E125" s="45" t="s">
        <v>898</v>
      </c>
      <c r="F125" s="45" t="s">
        <v>51</v>
      </c>
      <c r="G125" s="64" t="s">
        <v>55</v>
      </c>
      <c r="H125" s="49" t="s">
        <v>54</v>
      </c>
      <c r="I125" s="66" t="s">
        <v>882</v>
      </c>
      <c r="J125" s="12" t="s">
        <v>50</v>
      </c>
      <c r="K125" s="45" t="s">
        <v>1327</v>
      </c>
      <c r="L125" s="45" t="s">
        <v>56</v>
      </c>
      <c r="M125" s="5" t="s">
        <v>11</v>
      </c>
      <c r="N125" s="46" t="s">
        <v>10</v>
      </c>
      <c r="O125" s="45" t="s">
        <v>45</v>
      </c>
      <c r="P125" s="3" t="str">
        <f>Capacitors[[#This Row],[Footprint]]</f>
        <v>CAP-1206</v>
      </c>
    </row>
    <row r="126" spans="1:16" x14ac:dyDescent="0.25">
      <c r="A126" s="95">
        <f t="shared" si="2"/>
        <v>125</v>
      </c>
      <c r="B126" s="14" t="s">
        <v>767</v>
      </c>
      <c r="C126" s="174" t="str">
        <f t="shared" si="3"/>
        <v>CAP</v>
      </c>
      <c r="D12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50V 10% X7R ST 1206 AECQ</v>
      </c>
      <c r="E126" s="45" t="s">
        <v>898</v>
      </c>
      <c r="F126" s="45" t="s">
        <v>51</v>
      </c>
      <c r="G126" s="64" t="s">
        <v>55</v>
      </c>
      <c r="H126" s="49" t="s">
        <v>54</v>
      </c>
      <c r="I126" s="66" t="s">
        <v>884</v>
      </c>
      <c r="J126" s="12" t="s">
        <v>50</v>
      </c>
      <c r="K126" s="45" t="s">
        <v>1322</v>
      </c>
      <c r="L126" s="45" t="s">
        <v>56</v>
      </c>
      <c r="M126" s="5" t="s">
        <v>11</v>
      </c>
      <c r="N126" s="46" t="s">
        <v>10</v>
      </c>
      <c r="O126" s="45" t="s">
        <v>45</v>
      </c>
      <c r="P126" s="3" t="str">
        <f>Capacitors[[#This Row],[Footprint]]</f>
        <v>CAP-1206</v>
      </c>
    </row>
    <row r="127" spans="1:16" x14ac:dyDescent="0.25">
      <c r="A127" s="95">
        <f t="shared" si="2"/>
        <v>126</v>
      </c>
      <c r="B127" s="119" t="s">
        <v>768</v>
      </c>
      <c r="C127" s="174" t="str">
        <f t="shared" si="3"/>
        <v>CAP</v>
      </c>
      <c r="D12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OM 0603 AECQ</v>
      </c>
      <c r="E127" s="45" t="s">
        <v>61</v>
      </c>
      <c r="F127" s="45" t="s">
        <v>51</v>
      </c>
      <c r="G127" s="64" t="s">
        <v>55</v>
      </c>
      <c r="H127" s="49" t="s">
        <v>54</v>
      </c>
      <c r="I127" s="77" t="s">
        <v>883</v>
      </c>
      <c r="J127" s="12" t="s">
        <v>46</v>
      </c>
      <c r="K127" s="45" t="s">
        <v>1344</v>
      </c>
      <c r="L127" s="45" t="s">
        <v>32</v>
      </c>
      <c r="M127" s="5" t="s">
        <v>11</v>
      </c>
      <c r="N127" s="46" t="s">
        <v>10</v>
      </c>
      <c r="O127" s="45" t="s">
        <v>45</v>
      </c>
      <c r="P127" s="3" t="str">
        <f>Capacitors[[#This Row],[Footprint]]</f>
        <v>CAP-0603</v>
      </c>
    </row>
    <row r="128" spans="1:16" x14ac:dyDescent="0.25">
      <c r="A128" s="95">
        <f t="shared" si="2"/>
        <v>127</v>
      </c>
      <c r="B128" s="119" t="s">
        <v>768</v>
      </c>
      <c r="C128" s="174" t="str">
        <f t="shared" si="3"/>
        <v>CAP</v>
      </c>
      <c r="D12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0603 AECQ</v>
      </c>
      <c r="E128" s="45" t="s">
        <v>61</v>
      </c>
      <c r="F128" s="45" t="s">
        <v>51</v>
      </c>
      <c r="G128" s="64" t="s">
        <v>55</v>
      </c>
      <c r="H128" s="49" t="s">
        <v>54</v>
      </c>
      <c r="I128" s="77" t="s">
        <v>882</v>
      </c>
      <c r="J128" s="12" t="s">
        <v>46</v>
      </c>
      <c r="K128" s="45" t="s">
        <v>948</v>
      </c>
      <c r="L128" s="45" t="s">
        <v>36</v>
      </c>
      <c r="M128" s="5" t="s">
        <v>11</v>
      </c>
      <c r="N128" s="46" t="s">
        <v>10</v>
      </c>
      <c r="O128" s="45" t="s">
        <v>45</v>
      </c>
      <c r="P128" s="3" t="str">
        <f>Capacitors[[#This Row],[Footprint]]</f>
        <v>CAP-0603</v>
      </c>
    </row>
    <row r="129" spans="1:16" x14ac:dyDescent="0.25">
      <c r="A129" s="95">
        <f t="shared" si="2"/>
        <v>128</v>
      </c>
      <c r="B129" s="119" t="s">
        <v>768</v>
      </c>
      <c r="C129" s="174" t="str">
        <f t="shared" si="3"/>
        <v>CAP</v>
      </c>
      <c r="D12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0603 AECQ</v>
      </c>
      <c r="E129" s="45" t="s">
        <v>61</v>
      </c>
      <c r="F129" s="45" t="s">
        <v>51</v>
      </c>
      <c r="G129" s="64" t="s">
        <v>55</v>
      </c>
      <c r="H129" s="49" t="s">
        <v>54</v>
      </c>
      <c r="I129" s="77" t="s">
        <v>882</v>
      </c>
      <c r="J129" s="12" t="s">
        <v>46</v>
      </c>
      <c r="K129" s="45" t="s">
        <v>949</v>
      </c>
      <c r="L129" s="45" t="s">
        <v>913</v>
      </c>
      <c r="M129" s="5" t="s">
        <v>11</v>
      </c>
      <c r="N129" s="46" t="s">
        <v>10</v>
      </c>
      <c r="O129" s="45" t="s">
        <v>45</v>
      </c>
      <c r="P129" s="3" t="str">
        <f>Capacitors[[#This Row],[Footprint]]</f>
        <v>CAP-0603</v>
      </c>
    </row>
    <row r="130" spans="1:16" x14ac:dyDescent="0.25">
      <c r="A130" s="95">
        <f t="shared" si="2"/>
        <v>129</v>
      </c>
      <c r="B130" s="119" t="s">
        <v>768</v>
      </c>
      <c r="C130" s="174" t="str">
        <f t="shared" si="3"/>
        <v>CAP</v>
      </c>
      <c r="D13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OM 0603 AECQ</v>
      </c>
      <c r="E130" s="45" t="s">
        <v>61</v>
      </c>
      <c r="F130" s="45" t="s">
        <v>51</v>
      </c>
      <c r="G130" s="64" t="s">
        <v>55</v>
      </c>
      <c r="H130" s="49" t="s">
        <v>54</v>
      </c>
      <c r="I130" s="77" t="s">
        <v>883</v>
      </c>
      <c r="J130" s="12" t="s">
        <v>46</v>
      </c>
      <c r="K130" s="45" t="s">
        <v>1345</v>
      </c>
      <c r="L130" s="45" t="s">
        <v>32</v>
      </c>
      <c r="M130" s="5" t="s">
        <v>11</v>
      </c>
      <c r="N130" s="46" t="s">
        <v>10</v>
      </c>
      <c r="O130" s="45" t="s">
        <v>45</v>
      </c>
      <c r="P130" s="3" t="str">
        <f>Capacitors[[#This Row],[Footprint]]</f>
        <v>CAP-0603</v>
      </c>
    </row>
    <row r="131" spans="1:16" x14ac:dyDescent="0.25">
      <c r="A131" s="95">
        <f t="shared" ref="A131:A194" si="4">ROW()-1</f>
        <v>130</v>
      </c>
      <c r="B131" s="50" t="s">
        <v>769</v>
      </c>
      <c r="C131" s="174" t="str">
        <f t="shared" si="3"/>
        <v>CAP</v>
      </c>
      <c r="D13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50V 10% X7R ST 1206 AECQ</v>
      </c>
      <c r="E131" s="45" t="s">
        <v>898</v>
      </c>
      <c r="F131" s="45" t="s">
        <v>51</v>
      </c>
      <c r="G131" s="64" t="s">
        <v>55</v>
      </c>
      <c r="H131" s="49" t="s">
        <v>54</v>
      </c>
      <c r="I131" s="49" t="s">
        <v>884</v>
      </c>
      <c r="J131" s="12" t="s">
        <v>50</v>
      </c>
      <c r="K131" s="45" t="s">
        <v>1322</v>
      </c>
      <c r="L131" s="45" t="s">
        <v>56</v>
      </c>
      <c r="M131" s="5" t="s">
        <v>11</v>
      </c>
      <c r="N131" s="46" t="s">
        <v>10</v>
      </c>
      <c r="O131" s="45" t="s">
        <v>45</v>
      </c>
      <c r="P131" s="3" t="str">
        <f>Capacitors[[#This Row],[Footprint]]</f>
        <v>CAP-1206</v>
      </c>
    </row>
    <row r="132" spans="1:16" x14ac:dyDescent="0.25">
      <c r="A132" s="95">
        <f t="shared" si="4"/>
        <v>131</v>
      </c>
      <c r="B132" s="50" t="s">
        <v>770</v>
      </c>
      <c r="C132" s="174" t="str">
        <f t="shared" ref="C132:C195" si="5">"CAP"</f>
        <v>CAP</v>
      </c>
      <c r="D13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0805 AECQ</v>
      </c>
      <c r="E132" s="45" t="s">
        <v>59</v>
      </c>
      <c r="F132" s="45" t="s">
        <v>51</v>
      </c>
      <c r="G132" s="64" t="s">
        <v>55</v>
      </c>
      <c r="H132" s="49" t="s">
        <v>54</v>
      </c>
      <c r="I132" s="49" t="s">
        <v>882</v>
      </c>
      <c r="J132" s="12" t="s">
        <v>49</v>
      </c>
      <c r="K132" s="45" t="s">
        <v>950</v>
      </c>
      <c r="L132" s="45" t="s">
        <v>36</v>
      </c>
      <c r="M132" s="5" t="s">
        <v>11</v>
      </c>
      <c r="N132" s="46" t="s">
        <v>10</v>
      </c>
      <c r="O132" s="45" t="s">
        <v>45</v>
      </c>
      <c r="P132" s="3" t="str">
        <f>Capacitors[[#This Row],[Footprint]]</f>
        <v>CAP-0805</v>
      </c>
    </row>
    <row r="133" spans="1:16" x14ac:dyDescent="0.25">
      <c r="A133" s="164">
        <f t="shared" si="4"/>
        <v>132</v>
      </c>
      <c r="B133" s="14" t="s">
        <v>771</v>
      </c>
      <c r="C133" s="174" t="str">
        <f t="shared" si="5"/>
        <v>CAP</v>
      </c>
      <c r="D13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NFM 0805 AECQ</v>
      </c>
      <c r="E133" s="67" t="s">
        <v>885</v>
      </c>
      <c r="F133" s="7" t="s">
        <v>57</v>
      </c>
      <c r="G133" s="65" t="s">
        <v>55</v>
      </c>
      <c r="H133" s="66" t="s">
        <v>886</v>
      </c>
      <c r="I133" s="66" t="s">
        <v>882</v>
      </c>
      <c r="J133" s="88" t="s">
        <v>49</v>
      </c>
      <c r="K133" s="67" t="s">
        <v>978</v>
      </c>
      <c r="L133" s="67" t="s">
        <v>56</v>
      </c>
      <c r="M133" s="60" t="s">
        <v>11</v>
      </c>
      <c r="N133" s="81" t="s">
        <v>10</v>
      </c>
      <c r="O133" s="67" t="s">
        <v>45</v>
      </c>
      <c r="P133" s="3" t="str">
        <f>Capacitors[[#This Row],[Footprint]]</f>
        <v>CAP-0805</v>
      </c>
    </row>
    <row r="134" spans="1:16" x14ac:dyDescent="0.25">
      <c r="A134" s="164">
        <f t="shared" si="4"/>
        <v>133</v>
      </c>
      <c r="B134" s="14" t="s">
        <v>771</v>
      </c>
      <c r="C134" s="174" t="str">
        <f t="shared" si="5"/>
        <v>CAP</v>
      </c>
      <c r="D13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20% X7R ST 0805 AECQ</v>
      </c>
      <c r="E134" s="67" t="s">
        <v>885</v>
      </c>
      <c r="F134" s="7" t="s">
        <v>51</v>
      </c>
      <c r="G134" s="65" t="s">
        <v>125</v>
      </c>
      <c r="H134" s="66" t="s">
        <v>54</v>
      </c>
      <c r="I134" s="66" t="s">
        <v>884</v>
      </c>
      <c r="J134" s="88" t="s">
        <v>49</v>
      </c>
      <c r="K134" s="67" t="s">
        <v>951</v>
      </c>
      <c r="L134" s="67" t="s">
        <v>53</v>
      </c>
      <c r="M134" s="60" t="s">
        <v>11</v>
      </c>
      <c r="N134" s="81" t="s">
        <v>10</v>
      </c>
      <c r="O134" s="67" t="s">
        <v>45</v>
      </c>
      <c r="P134" s="3" t="str">
        <f>Capacitors[[#This Row],[Footprint]]</f>
        <v>CAP-0805</v>
      </c>
    </row>
    <row r="135" spans="1:16" x14ac:dyDescent="0.25">
      <c r="A135" s="164">
        <f t="shared" si="4"/>
        <v>134</v>
      </c>
      <c r="B135" s="61" t="s">
        <v>772</v>
      </c>
      <c r="C135" s="174" t="str">
        <f t="shared" si="5"/>
        <v>CAP</v>
      </c>
      <c r="D13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OM 0603 AECQ</v>
      </c>
      <c r="E135" s="67" t="s">
        <v>881</v>
      </c>
      <c r="F135" s="67" t="s">
        <v>57</v>
      </c>
      <c r="G135" s="68" t="s">
        <v>55</v>
      </c>
      <c r="H135" s="69" t="s">
        <v>54</v>
      </c>
      <c r="I135" s="69" t="s">
        <v>883</v>
      </c>
      <c r="J135" s="88" t="s">
        <v>46</v>
      </c>
      <c r="K135" s="67" t="s">
        <v>1346</v>
      </c>
      <c r="L135" s="67" t="s">
        <v>32</v>
      </c>
      <c r="M135" s="60" t="s">
        <v>11</v>
      </c>
      <c r="N135" s="81" t="s">
        <v>10</v>
      </c>
      <c r="O135" s="67" t="s">
        <v>45</v>
      </c>
      <c r="P135" s="3" t="str">
        <f>Capacitors[[#This Row],[Footprint]]</f>
        <v>CAP-0603</v>
      </c>
    </row>
    <row r="136" spans="1:16" x14ac:dyDescent="0.25">
      <c r="A136" s="164">
        <f t="shared" si="4"/>
        <v>135</v>
      </c>
      <c r="B136" s="61" t="s">
        <v>772</v>
      </c>
      <c r="C136" s="174" t="str">
        <f t="shared" si="5"/>
        <v>CAP</v>
      </c>
      <c r="D13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ST 0603 AECQ</v>
      </c>
      <c r="E136" s="67" t="s">
        <v>881</v>
      </c>
      <c r="F136" s="67" t="s">
        <v>57</v>
      </c>
      <c r="G136" s="68" t="s">
        <v>55</v>
      </c>
      <c r="H136" s="69" t="s">
        <v>54</v>
      </c>
      <c r="I136" s="69" t="s">
        <v>884</v>
      </c>
      <c r="J136" s="88" t="s">
        <v>46</v>
      </c>
      <c r="K136" s="67" t="s">
        <v>1347</v>
      </c>
      <c r="L136" s="67" t="s">
        <v>56</v>
      </c>
      <c r="M136" s="60" t="s">
        <v>11</v>
      </c>
      <c r="N136" s="81" t="s">
        <v>10</v>
      </c>
      <c r="O136" s="67" t="s">
        <v>45</v>
      </c>
      <c r="P136" s="3" t="str">
        <f>Capacitors[[#This Row],[Footprint]]</f>
        <v>CAP-0603</v>
      </c>
    </row>
    <row r="137" spans="1:16" x14ac:dyDescent="0.25">
      <c r="A137" s="164">
        <f t="shared" si="4"/>
        <v>136</v>
      </c>
      <c r="B137" s="61" t="s">
        <v>772</v>
      </c>
      <c r="C137" s="174" t="str">
        <f t="shared" si="5"/>
        <v>CAP</v>
      </c>
      <c r="D13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ST 0603 AECQ</v>
      </c>
      <c r="E137" s="67" t="s">
        <v>881</v>
      </c>
      <c r="F137" s="67" t="s">
        <v>57</v>
      </c>
      <c r="G137" s="68" t="s">
        <v>55</v>
      </c>
      <c r="H137" s="69" t="s">
        <v>54</v>
      </c>
      <c r="I137" s="69" t="s">
        <v>884</v>
      </c>
      <c r="J137" s="88" t="s">
        <v>46</v>
      </c>
      <c r="K137" s="67" t="s">
        <v>952</v>
      </c>
      <c r="L137" s="67" t="s">
        <v>53</v>
      </c>
      <c r="M137" s="60" t="s">
        <v>11</v>
      </c>
      <c r="N137" s="81" t="s">
        <v>10</v>
      </c>
      <c r="O137" s="67" t="s">
        <v>45</v>
      </c>
      <c r="P137" s="3" t="str">
        <f>Capacitors[[#This Row],[Footprint]]</f>
        <v>CAP-0603</v>
      </c>
    </row>
    <row r="138" spans="1:16" x14ac:dyDescent="0.25">
      <c r="A138" s="164">
        <f t="shared" si="4"/>
        <v>137</v>
      </c>
      <c r="B138" s="61" t="s">
        <v>772</v>
      </c>
      <c r="C138" s="174" t="str">
        <f t="shared" si="5"/>
        <v>CAP</v>
      </c>
      <c r="D13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ST 0603 AECQ</v>
      </c>
      <c r="E138" s="67" t="s">
        <v>881</v>
      </c>
      <c r="F138" s="67" t="s">
        <v>57</v>
      </c>
      <c r="G138" s="68" t="s">
        <v>55</v>
      </c>
      <c r="H138" s="69" t="s">
        <v>54</v>
      </c>
      <c r="I138" s="69" t="s">
        <v>884</v>
      </c>
      <c r="J138" s="88" t="s">
        <v>46</v>
      </c>
      <c r="K138" s="67" t="s">
        <v>1348</v>
      </c>
      <c r="L138" s="67" t="s">
        <v>56</v>
      </c>
      <c r="M138" s="60" t="s">
        <v>11</v>
      </c>
      <c r="N138" s="81" t="s">
        <v>10</v>
      </c>
      <c r="O138" s="67" t="s">
        <v>45</v>
      </c>
      <c r="P138" s="3" t="str">
        <f>Capacitors[[#This Row],[Footprint]]</f>
        <v>CAP-0603</v>
      </c>
    </row>
    <row r="139" spans="1:16" x14ac:dyDescent="0.25">
      <c r="A139" s="164">
        <f t="shared" si="4"/>
        <v>138</v>
      </c>
      <c r="B139" s="61" t="s">
        <v>773</v>
      </c>
      <c r="C139" s="174" t="str">
        <f t="shared" si="5"/>
        <v>CAP</v>
      </c>
      <c r="D13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0805 AECQ</v>
      </c>
      <c r="E139" s="67" t="s">
        <v>59</v>
      </c>
      <c r="F139" s="67" t="s">
        <v>57</v>
      </c>
      <c r="G139" s="68" t="s">
        <v>55</v>
      </c>
      <c r="H139" s="69" t="s">
        <v>54</v>
      </c>
      <c r="I139" s="69" t="s">
        <v>884</v>
      </c>
      <c r="J139" s="88" t="s">
        <v>49</v>
      </c>
      <c r="K139" s="67" t="s">
        <v>1292</v>
      </c>
      <c r="L139" s="67" t="s">
        <v>56</v>
      </c>
      <c r="M139" s="60" t="s">
        <v>11</v>
      </c>
      <c r="N139" s="81" t="s">
        <v>10</v>
      </c>
      <c r="O139" s="67" t="s">
        <v>45</v>
      </c>
      <c r="P139" s="3" t="str">
        <f>Capacitors[[#This Row],[Footprint]]</f>
        <v>CAP-0805</v>
      </c>
    </row>
    <row r="140" spans="1:16" x14ac:dyDescent="0.25">
      <c r="A140" s="164">
        <f t="shared" si="4"/>
        <v>139</v>
      </c>
      <c r="B140" s="61" t="s">
        <v>773</v>
      </c>
      <c r="C140" s="174" t="str">
        <f t="shared" si="5"/>
        <v>CAP</v>
      </c>
      <c r="D14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OM 0805 AECQ</v>
      </c>
      <c r="E140" s="67" t="s">
        <v>59</v>
      </c>
      <c r="F140" s="67" t="s">
        <v>57</v>
      </c>
      <c r="G140" s="68" t="s">
        <v>55</v>
      </c>
      <c r="H140" s="69" t="s">
        <v>54</v>
      </c>
      <c r="I140" s="69" t="s">
        <v>883</v>
      </c>
      <c r="J140" s="88" t="s">
        <v>49</v>
      </c>
      <c r="K140" s="67" t="s">
        <v>1291</v>
      </c>
      <c r="L140" s="67" t="s">
        <v>32</v>
      </c>
      <c r="M140" s="60" t="s">
        <v>11</v>
      </c>
      <c r="N140" s="81" t="s">
        <v>10</v>
      </c>
      <c r="O140" s="67" t="s">
        <v>45</v>
      </c>
      <c r="P140" s="3" t="str">
        <f>Capacitors[[#This Row],[Footprint]]</f>
        <v>CAP-0805</v>
      </c>
    </row>
    <row r="141" spans="1:16" x14ac:dyDescent="0.25">
      <c r="A141" s="164">
        <f t="shared" si="4"/>
        <v>140</v>
      </c>
      <c r="B141" s="61" t="s">
        <v>773</v>
      </c>
      <c r="C141" s="174" t="str">
        <f t="shared" si="5"/>
        <v>CAP</v>
      </c>
      <c r="D14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0805 AECQ</v>
      </c>
      <c r="E141" s="67" t="s">
        <v>59</v>
      </c>
      <c r="F141" s="67" t="s">
        <v>57</v>
      </c>
      <c r="G141" s="68" t="s">
        <v>55</v>
      </c>
      <c r="H141" s="69" t="s">
        <v>54</v>
      </c>
      <c r="I141" s="69" t="s">
        <v>884</v>
      </c>
      <c r="J141" s="88" t="s">
        <v>49</v>
      </c>
      <c r="K141" s="67" t="s">
        <v>1349</v>
      </c>
      <c r="L141" s="67" t="s">
        <v>56</v>
      </c>
      <c r="M141" s="60" t="s">
        <v>11</v>
      </c>
      <c r="N141" s="81" t="s">
        <v>10</v>
      </c>
      <c r="O141" s="67" t="s">
        <v>45</v>
      </c>
      <c r="P141" s="3" t="str">
        <f>Capacitors[[#This Row],[Footprint]]</f>
        <v>CAP-0805</v>
      </c>
    </row>
    <row r="142" spans="1:16" x14ac:dyDescent="0.25">
      <c r="A142" s="164">
        <f t="shared" si="4"/>
        <v>141</v>
      </c>
      <c r="B142" s="14" t="s">
        <v>774</v>
      </c>
      <c r="C142" s="174" t="str">
        <f t="shared" si="5"/>
        <v>CAP</v>
      </c>
      <c r="D14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ST 0805 AECQ</v>
      </c>
      <c r="E142" s="67" t="s">
        <v>885</v>
      </c>
      <c r="F142" s="67" t="s">
        <v>57</v>
      </c>
      <c r="G142" s="65" t="s">
        <v>55</v>
      </c>
      <c r="H142" s="69" t="s">
        <v>886</v>
      </c>
      <c r="I142" s="69" t="s">
        <v>884</v>
      </c>
      <c r="J142" s="88" t="s">
        <v>49</v>
      </c>
      <c r="K142" s="67" t="s">
        <v>1350</v>
      </c>
      <c r="L142" s="67" t="s">
        <v>56</v>
      </c>
      <c r="M142" s="15" t="s">
        <v>11</v>
      </c>
      <c r="N142" s="81" t="s">
        <v>10</v>
      </c>
      <c r="O142" s="67" t="s">
        <v>45</v>
      </c>
      <c r="P142" s="3" t="str">
        <f>Capacitors[[#This Row],[Footprint]]</f>
        <v>CAP-0805</v>
      </c>
    </row>
    <row r="143" spans="1:16" x14ac:dyDescent="0.25">
      <c r="A143" s="164">
        <f t="shared" si="4"/>
        <v>142</v>
      </c>
      <c r="B143" s="14" t="s">
        <v>774</v>
      </c>
      <c r="C143" s="174" t="str">
        <f t="shared" si="5"/>
        <v>CAP</v>
      </c>
      <c r="D14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20% X7S ST 0805 AECQ</v>
      </c>
      <c r="E143" s="67" t="s">
        <v>885</v>
      </c>
      <c r="F143" s="67" t="s">
        <v>57</v>
      </c>
      <c r="G143" s="65" t="s">
        <v>125</v>
      </c>
      <c r="H143" s="69" t="s">
        <v>886</v>
      </c>
      <c r="I143" s="69" t="s">
        <v>884</v>
      </c>
      <c r="J143" s="88" t="s">
        <v>49</v>
      </c>
      <c r="K143" s="67" t="s">
        <v>953</v>
      </c>
      <c r="L143" s="67" t="s">
        <v>53</v>
      </c>
      <c r="M143" s="15" t="s">
        <v>11</v>
      </c>
      <c r="N143" s="81" t="s">
        <v>10</v>
      </c>
      <c r="O143" s="67" t="s">
        <v>45</v>
      </c>
      <c r="P143" s="3" t="str">
        <f>Capacitors[[#This Row],[Footprint]]</f>
        <v>CAP-0805</v>
      </c>
    </row>
    <row r="144" spans="1:16" x14ac:dyDescent="0.25">
      <c r="A144" s="164">
        <f t="shared" si="4"/>
        <v>143</v>
      </c>
      <c r="B144" s="14" t="s">
        <v>774</v>
      </c>
      <c r="C144" s="174" t="str">
        <f t="shared" si="5"/>
        <v>CAP</v>
      </c>
      <c r="D14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ST 0805 STD</v>
      </c>
      <c r="E144" s="67" t="s">
        <v>885</v>
      </c>
      <c r="F144" s="67" t="s">
        <v>57</v>
      </c>
      <c r="G144" s="65" t="s">
        <v>55</v>
      </c>
      <c r="H144" s="69" t="s">
        <v>886</v>
      </c>
      <c r="I144" s="69" t="s">
        <v>884</v>
      </c>
      <c r="J144" s="88" t="s">
        <v>49</v>
      </c>
      <c r="K144" s="67" t="s">
        <v>1351</v>
      </c>
      <c r="L144" s="67" t="s">
        <v>56</v>
      </c>
      <c r="M144" s="15" t="s">
        <v>1561</v>
      </c>
      <c r="N144" s="81" t="s">
        <v>10</v>
      </c>
      <c r="O144" s="67" t="s">
        <v>45</v>
      </c>
      <c r="P144" s="3" t="str">
        <f>Capacitors[[#This Row],[Footprint]]</f>
        <v>CAP-0805</v>
      </c>
    </row>
    <row r="145" spans="1:16" x14ac:dyDescent="0.25">
      <c r="A145" s="95">
        <f t="shared" si="4"/>
        <v>144</v>
      </c>
      <c r="B145" s="119" t="s">
        <v>775</v>
      </c>
      <c r="C145" s="174" t="str">
        <f t="shared" si="5"/>
        <v>CAP</v>
      </c>
      <c r="D14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ST 0805 AECQ</v>
      </c>
      <c r="E145" s="45" t="s">
        <v>885</v>
      </c>
      <c r="F145" s="45" t="s">
        <v>57</v>
      </c>
      <c r="G145" s="64" t="s">
        <v>55</v>
      </c>
      <c r="H145" s="49" t="s">
        <v>886</v>
      </c>
      <c r="I145" s="49" t="s">
        <v>884</v>
      </c>
      <c r="J145" s="12" t="s">
        <v>49</v>
      </c>
      <c r="K145" s="45" t="s">
        <v>954</v>
      </c>
      <c r="L145" s="45" t="s">
        <v>53</v>
      </c>
      <c r="M145" s="165" t="s">
        <v>11</v>
      </c>
      <c r="N145" s="46" t="s">
        <v>10</v>
      </c>
      <c r="O145" s="45" t="s">
        <v>45</v>
      </c>
      <c r="P145" s="3" t="str">
        <f>Capacitors[[#This Row],[Footprint]]</f>
        <v>CAP-0805</v>
      </c>
    </row>
    <row r="146" spans="1:16" x14ac:dyDescent="0.25">
      <c r="A146" s="95">
        <f t="shared" si="4"/>
        <v>145</v>
      </c>
      <c r="B146" s="119" t="s">
        <v>775</v>
      </c>
      <c r="C146" s="174" t="str">
        <f t="shared" si="5"/>
        <v>CAP</v>
      </c>
      <c r="D14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ST 0805 AECQ</v>
      </c>
      <c r="E146" s="45" t="s">
        <v>885</v>
      </c>
      <c r="F146" s="45" t="s">
        <v>57</v>
      </c>
      <c r="G146" s="64" t="s">
        <v>55</v>
      </c>
      <c r="H146" s="49" t="s">
        <v>886</v>
      </c>
      <c r="I146" s="49" t="s">
        <v>884</v>
      </c>
      <c r="J146" s="12" t="s">
        <v>49</v>
      </c>
      <c r="K146" s="45" t="s">
        <v>1350</v>
      </c>
      <c r="L146" s="45" t="s">
        <v>56</v>
      </c>
      <c r="M146" s="165" t="s">
        <v>11</v>
      </c>
      <c r="N146" s="46" t="s">
        <v>10</v>
      </c>
      <c r="O146" s="45" t="s">
        <v>45</v>
      </c>
      <c r="P146" s="3" t="str">
        <f>Capacitors[[#This Row],[Footprint]]</f>
        <v>CAP-0805</v>
      </c>
    </row>
    <row r="147" spans="1:16" x14ac:dyDescent="0.25">
      <c r="A147" s="95">
        <f t="shared" si="4"/>
        <v>146</v>
      </c>
      <c r="B147" s="119" t="s">
        <v>775</v>
      </c>
      <c r="C147" s="174" t="str">
        <f t="shared" si="5"/>
        <v>CAP</v>
      </c>
      <c r="D14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ST 0805 STD</v>
      </c>
      <c r="E147" s="45" t="s">
        <v>885</v>
      </c>
      <c r="F147" s="45" t="s">
        <v>57</v>
      </c>
      <c r="G147" s="64" t="s">
        <v>55</v>
      </c>
      <c r="H147" s="49" t="s">
        <v>886</v>
      </c>
      <c r="I147" s="49" t="s">
        <v>884</v>
      </c>
      <c r="J147" s="12" t="s">
        <v>49</v>
      </c>
      <c r="K147" s="45" t="s">
        <v>1352</v>
      </c>
      <c r="L147" s="45" t="s">
        <v>56</v>
      </c>
      <c r="M147" s="165" t="s">
        <v>1561</v>
      </c>
      <c r="N147" s="46" t="s">
        <v>10</v>
      </c>
      <c r="O147" s="45" t="s">
        <v>45</v>
      </c>
      <c r="P147" s="3" t="str">
        <f>Capacitors[[#This Row],[Footprint]]</f>
        <v>CAP-0805</v>
      </c>
    </row>
    <row r="148" spans="1:16" x14ac:dyDescent="0.25">
      <c r="A148" s="95">
        <f t="shared" si="4"/>
        <v>147</v>
      </c>
      <c r="B148" s="14" t="s">
        <v>776</v>
      </c>
      <c r="C148" s="174" t="str">
        <f t="shared" si="5"/>
        <v>CAP</v>
      </c>
      <c r="D14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100V 5% C0G NFM 0603 AECQ</v>
      </c>
      <c r="E148" s="45" t="s">
        <v>887</v>
      </c>
      <c r="F148" s="45" t="s">
        <v>57</v>
      </c>
      <c r="G148" s="64" t="s">
        <v>410</v>
      </c>
      <c r="H148" s="66" t="s">
        <v>889</v>
      </c>
      <c r="I148" s="49" t="s">
        <v>882</v>
      </c>
      <c r="J148" s="12" t="s">
        <v>46</v>
      </c>
      <c r="K148" s="45" t="s">
        <v>1353</v>
      </c>
      <c r="L148" s="45" t="s">
        <v>32</v>
      </c>
      <c r="M148" s="5" t="s">
        <v>11</v>
      </c>
      <c r="N148" s="46" t="s">
        <v>10</v>
      </c>
      <c r="O148" s="45" t="s">
        <v>45</v>
      </c>
      <c r="P148" s="3" t="str">
        <f>Capacitors[[#This Row],[Footprint]]</f>
        <v>CAP-0603</v>
      </c>
    </row>
    <row r="149" spans="1:16" x14ac:dyDescent="0.25">
      <c r="A149" s="95">
        <f t="shared" si="4"/>
        <v>148</v>
      </c>
      <c r="B149" s="14" t="s">
        <v>776</v>
      </c>
      <c r="C149" s="174" t="str">
        <f t="shared" si="5"/>
        <v>CAP</v>
      </c>
      <c r="D14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100V 5% NPO NFM 0603 AECQ</v>
      </c>
      <c r="E149" s="45" t="s">
        <v>887</v>
      </c>
      <c r="F149" s="45" t="s">
        <v>57</v>
      </c>
      <c r="G149" s="64" t="s">
        <v>410</v>
      </c>
      <c r="H149" s="66" t="s">
        <v>888</v>
      </c>
      <c r="I149" s="49" t="s">
        <v>882</v>
      </c>
      <c r="J149" s="12" t="s">
        <v>46</v>
      </c>
      <c r="K149" s="45" t="s">
        <v>955</v>
      </c>
      <c r="L149" s="45" t="s">
        <v>36</v>
      </c>
      <c r="M149" s="5" t="s">
        <v>11</v>
      </c>
      <c r="N149" s="46" t="s">
        <v>10</v>
      </c>
      <c r="O149" s="45" t="s">
        <v>45</v>
      </c>
      <c r="P149" s="3" t="str">
        <f>Capacitors[[#This Row],[Footprint]]</f>
        <v>CAP-0603</v>
      </c>
    </row>
    <row r="150" spans="1:16" x14ac:dyDescent="0.25">
      <c r="A150" s="164">
        <f t="shared" si="4"/>
        <v>149</v>
      </c>
      <c r="B150" s="61" t="s">
        <v>777</v>
      </c>
      <c r="C150" s="174" t="str">
        <f t="shared" si="5"/>
        <v>CAP</v>
      </c>
      <c r="D15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100V 10% X7R NFM 0603 AECQ</v>
      </c>
      <c r="E150" s="67" t="s">
        <v>58</v>
      </c>
      <c r="F150" s="67" t="s">
        <v>57</v>
      </c>
      <c r="G150" s="68" t="s">
        <v>55</v>
      </c>
      <c r="H150" s="69" t="s">
        <v>54</v>
      </c>
      <c r="I150" s="69" t="s">
        <v>882</v>
      </c>
      <c r="J150" s="88" t="s">
        <v>46</v>
      </c>
      <c r="K150" s="166" t="s">
        <v>1354</v>
      </c>
      <c r="L150" s="67" t="s">
        <v>56</v>
      </c>
      <c r="M150" s="60" t="s">
        <v>11</v>
      </c>
      <c r="N150" s="81" t="s">
        <v>10</v>
      </c>
      <c r="O150" s="67" t="s">
        <v>45</v>
      </c>
      <c r="P150" s="3" t="str">
        <f>Capacitors[[#This Row],[Footprint]]</f>
        <v>CAP-0603</v>
      </c>
    </row>
    <row r="151" spans="1:16" x14ac:dyDescent="0.25">
      <c r="A151" s="164">
        <f t="shared" si="4"/>
        <v>150</v>
      </c>
      <c r="B151" s="61" t="s">
        <v>777</v>
      </c>
      <c r="C151" s="174" t="str">
        <f t="shared" si="5"/>
        <v>CAP</v>
      </c>
      <c r="D15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100V 10% X7R NFM 0603 AECQ</v>
      </c>
      <c r="E151" s="67" t="s">
        <v>58</v>
      </c>
      <c r="F151" s="67" t="s">
        <v>57</v>
      </c>
      <c r="G151" s="68" t="s">
        <v>55</v>
      </c>
      <c r="H151" s="69" t="s">
        <v>54</v>
      </c>
      <c r="I151" s="69" t="s">
        <v>882</v>
      </c>
      <c r="J151" s="88" t="s">
        <v>46</v>
      </c>
      <c r="K151" s="67" t="s">
        <v>1355</v>
      </c>
      <c r="L151" s="67" t="s">
        <v>56</v>
      </c>
      <c r="M151" s="60" t="s">
        <v>11</v>
      </c>
      <c r="N151" s="81" t="s">
        <v>10</v>
      </c>
      <c r="O151" s="67" t="s">
        <v>45</v>
      </c>
      <c r="P151" s="3" t="str">
        <f>Capacitors[[#This Row],[Footprint]]</f>
        <v>CAP-0603</v>
      </c>
    </row>
    <row r="152" spans="1:16" x14ac:dyDescent="0.25">
      <c r="A152" s="95">
        <f t="shared" si="4"/>
        <v>151</v>
      </c>
      <c r="B152" s="50" t="s">
        <v>778</v>
      </c>
      <c r="C152" s="174" t="str">
        <f t="shared" si="5"/>
        <v>CAP</v>
      </c>
      <c r="D15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X7R OM 1210 AECQ</v>
      </c>
      <c r="E152" s="45" t="s">
        <v>885</v>
      </c>
      <c r="F152" s="45" t="s">
        <v>57</v>
      </c>
      <c r="G152" s="64" t="s">
        <v>55</v>
      </c>
      <c r="H152" s="49" t="s">
        <v>54</v>
      </c>
      <c r="I152" s="49" t="s">
        <v>883</v>
      </c>
      <c r="J152" s="12" t="s">
        <v>62</v>
      </c>
      <c r="K152" s="45" t="s">
        <v>956</v>
      </c>
      <c r="L152" s="45" t="s">
        <v>913</v>
      </c>
      <c r="M152" s="5" t="s">
        <v>11</v>
      </c>
      <c r="N152" s="46" t="s">
        <v>10</v>
      </c>
      <c r="O152" s="45" t="s">
        <v>45</v>
      </c>
      <c r="P152" s="3" t="str">
        <f>Capacitors[[#This Row],[Footprint]]</f>
        <v>CAP-1210</v>
      </c>
    </row>
    <row r="153" spans="1:16" x14ac:dyDescent="0.25">
      <c r="A153" s="164">
        <f t="shared" si="4"/>
        <v>152</v>
      </c>
      <c r="B153" s="14" t="s">
        <v>779</v>
      </c>
      <c r="C153" s="174" t="str">
        <f t="shared" si="5"/>
        <v>CAP</v>
      </c>
      <c r="D15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OM 1210 AECQ</v>
      </c>
      <c r="E153" s="67" t="s">
        <v>59</v>
      </c>
      <c r="F153" s="67" t="s">
        <v>57</v>
      </c>
      <c r="G153" s="68" t="s">
        <v>55</v>
      </c>
      <c r="H153" s="69" t="s">
        <v>54</v>
      </c>
      <c r="I153" s="66" t="s">
        <v>883</v>
      </c>
      <c r="J153" s="88" t="s">
        <v>62</v>
      </c>
      <c r="K153" s="67" t="s">
        <v>957</v>
      </c>
      <c r="L153" s="67" t="s">
        <v>913</v>
      </c>
      <c r="M153" s="60" t="s">
        <v>11</v>
      </c>
      <c r="N153" s="81" t="s">
        <v>10</v>
      </c>
      <c r="O153" s="67" t="s">
        <v>45</v>
      </c>
      <c r="P153" s="3" t="str">
        <f>Capacitors[[#This Row],[Footprint]]</f>
        <v>CAP-1210</v>
      </c>
    </row>
    <row r="154" spans="1:16" x14ac:dyDescent="0.25">
      <c r="A154" s="164">
        <f t="shared" si="4"/>
        <v>153</v>
      </c>
      <c r="B154" s="14" t="s">
        <v>779</v>
      </c>
      <c r="C154" s="174" t="str">
        <f t="shared" si="5"/>
        <v>CAP</v>
      </c>
      <c r="D15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NFM 1210 AECQ</v>
      </c>
      <c r="E154" s="67" t="s">
        <v>59</v>
      </c>
      <c r="F154" s="67" t="s">
        <v>57</v>
      </c>
      <c r="G154" s="68" t="s">
        <v>55</v>
      </c>
      <c r="H154" s="69" t="s">
        <v>54</v>
      </c>
      <c r="I154" s="66" t="s">
        <v>882</v>
      </c>
      <c r="J154" s="88" t="s">
        <v>62</v>
      </c>
      <c r="K154" s="67" t="s">
        <v>1356</v>
      </c>
      <c r="L154" s="67" t="s">
        <v>958</v>
      </c>
      <c r="M154" s="60" t="s">
        <v>11</v>
      </c>
      <c r="N154" s="81" t="s">
        <v>10</v>
      </c>
      <c r="O154" s="67" t="s">
        <v>45</v>
      </c>
      <c r="P154" s="3" t="str">
        <f>Capacitors[[#This Row],[Footprint]]</f>
        <v>CAP-1210</v>
      </c>
    </row>
    <row r="155" spans="1:16" x14ac:dyDescent="0.25">
      <c r="A155" s="164">
        <f t="shared" si="4"/>
        <v>154</v>
      </c>
      <c r="B155" s="119" t="s">
        <v>780</v>
      </c>
      <c r="C155" s="174" t="str">
        <f t="shared" si="5"/>
        <v>CAP</v>
      </c>
      <c r="D15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OM 0805 AECQ</v>
      </c>
      <c r="E155" s="67" t="s">
        <v>59</v>
      </c>
      <c r="F155" s="67" t="s">
        <v>57</v>
      </c>
      <c r="G155" s="68" t="s">
        <v>55</v>
      </c>
      <c r="H155" s="69" t="s">
        <v>54</v>
      </c>
      <c r="I155" s="77" t="s">
        <v>883</v>
      </c>
      <c r="J155" s="88" t="s">
        <v>49</v>
      </c>
      <c r="K155" s="67" t="s">
        <v>1291</v>
      </c>
      <c r="L155" s="67" t="s">
        <v>32</v>
      </c>
      <c r="M155" s="60" t="s">
        <v>11</v>
      </c>
      <c r="N155" s="81" t="s">
        <v>10</v>
      </c>
      <c r="O155" s="67" t="s">
        <v>45</v>
      </c>
      <c r="P155" s="3" t="str">
        <f>Capacitors[[#This Row],[Footprint]]</f>
        <v>CAP-0805</v>
      </c>
    </row>
    <row r="156" spans="1:16" x14ac:dyDescent="0.25">
      <c r="A156" s="164">
        <f t="shared" si="4"/>
        <v>155</v>
      </c>
      <c r="B156" s="119" t="s">
        <v>780</v>
      </c>
      <c r="C156" s="174" t="str">
        <f t="shared" si="5"/>
        <v>CAP</v>
      </c>
      <c r="D15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0805 AECQ</v>
      </c>
      <c r="E156" s="67" t="s">
        <v>59</v>
      </c>
      <c r="F156" s="67" t="s">
        <v>51</v>
      </c>
      <c r="G156" s="68" t="s">
        <v>55</v>
      </c>
      <c r="H156" s="69" t="s">
        <v>54</v>
      </c>
      <c r="I156" s="77" t="s">
        <v>882</v>
      </c>
      <c r="J156" s="88" t="s">
        <v>49</v>
      </c>
      <c r="K156" s="67" t="s">
        <v>959</v>
      </c>
      <c r="L156" s="67" t="s">
        <v>56</v>
      </c>
      <c r="M156" s="60" t="s">
        <v>11</v>
      </c>
      <c r="N156" s="81" t="s">
        <v>10</v>
      </c>
      <c r="O156" s="67" t="s">
        <v>45</v>
      </c>
      <c r="P156" s="3" t="str">
        <f>Capacitors[[#This Row],[Footprint]]</f>
        <v>CAP-0805</v>
      </c>
    </row>
    <row r="157" spans="1:16" x14ac:dyDescent="0.25">
      <c r="A157" s="95">
        <f t="shared" si="4"/>
        <v>156</v>
      </c>
      <c r="B157" s="50" t="s">
        <v>781</v>
      </c>
      <c r="C157" s="174" t="str">
        <f t="shared" si="5"/>
        <v>CAP</v>
      </c>
      <c r="D15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157" s="45" t="s">
        <v>58</v>
      </c>
      <c r="F157" s="45" t="s">
        <v>51</v>
      </c>
      <c r="G157" s="65" t="s">
        <v>55</v>
      </c>
      <c r="H157" s="49" t="s">
        <v>54</v>
      </c>
      <c r="I157" s="66" t="s">
        <v>882</v>
      </c>
      <c r="J157" s="12" t="s">
        <v>46</v>
      </c>
      <c r="K157" s="45" t="s">
        <v>920</v>
      </c>
      <c r="L157" s="45" t="s">
        <v>36</v>
      </c>
      <c r="M157" s="5" t="s">
        <v>11</v>
      </c>
      <c r="N157" s="46" t="s">
        <v>10</v>
      </c>
      <c r="O157" s="45" t="s">
        <v>45</v>
      </c>
      <c r="P157" s="3" t="str">
        <f>Capacitors[[#This Row],[Footprint]]</f>
        <v>CAP-0603</v>
      </c>
    </row>
    <row r="158" spans="1:16" x14ac:dyDescent="0.25">
      <c r="A158" s="95">
        <f t="shared" si="4"/>
        <v>157</v>
      </c>
      <c r="B158" s="50" t="s">
        <v>781</v>
      </c>
      <c r="C158" s="174" t="str">
        <f t="shared" si="5"/>
        <v>CAP</v>
      </c>
      <c r="D15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OM 0603 AECQ</v>
      </c>
      <c r="E158" s="45" t="s">
        <v>58</v>
      </c>
      <c r="F158" s="45" t="s">
        <v>51</v>
      </c>
      <c r="G158" s="65" t="s">
        <v>55</v>
      </c>
      <c r="H158" s="49" t="s">
        <v>54</v>
      </c>
      <c r="I158" s="66" t="s">
        <v>883</v>
      </c>
      <c r="J158" s="12" t="s">
        <v>46</v>
      </c>
      <c r="K158" s="45" t="s">
        <v>1302</v>
      </c>
      <c r="L158" s="45" t="s">
        <v>32</v>
      </c>
      <c r="M158" s="5" t="s">
        <v>11</v>
      </c>
      <c r="N158" s="46" t="s">
        <v>10</v>
      </c>
      <c r="O158" s="45" t="s">
        <v>45</v>
      </c>
      <c r="P158" s="3" t="str">
        <f>Capacitors[[#This Row],[Footprint]]</f>
        <v>CAP-0603</v>
      </c>
    </row>
    <row r="159" spans="1:16" x14ac:dyDescent="0.25">
      <c r="A159" s="95">
        <f t="shared" si="4"/>
        <v>158</v>
      </c>
      <c r="B159" s="50" t="s">
        <v>781</v>
      </c>
      <c r="C159" s="174" t="str">
        <f t="shared" si="5"/>
        <v>CAP</v>
      </c>
      <c r="D15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159" s="45" t="s">
        <v>58</v>
      </c>
      <c r="F159" s="45" t="s">
        <v>51</v>
      </c>
      <c r="G159" s="65" t="s">
        <v>55</v>
      </c>
      <c r="H159" s="49" t="s">
        <v>54</v>
      </c>
      <c r="I159" s="66" t="s">
        <v>882</v>
      </c>
      <c r="J159" s="12" t="s">
        <v>46</v>
      </c>
      <c r="K159" s="45" t="s">
        <v>921</v>
      </c>
      <c r="L159" s="45" t="s">
        <v>53</v>
      </c>
      <c r="M159" s="5" t="s">
        <v>11</v>
      </c>
      <c r="N159" s="46" t="s">
        <v>10</v>
      </c>
      <c r="O159" s="45" t="s">
        <v>45</v>
      </c>
      <c r="P159" s="3" t="str">
        <f>Capacitors[[#This Row],[Footprint]]</f>
        <v>CAP-0603</v>
      </c>
    </row>
    <row r="160" spans="1:16" x14ac:dyDescent="0.25">
      <c r="A160" s="95">
        <f t="shared" si="4"/>
        <v>159</v>
      </c>
      <c r="B160" s="50" t="s">
        <v>781</v>
      </c>
      <c r="C160" s="174" t="str">
        <f t="shared" si="5"/>
        <v>CAP</v>
      </c>
      <c r="D16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ST 0603 AECQ</v>
      </c>
      <c r="E160" s="45" t="s">
        <v>58</v>
      </c>
      <c r="F160" s="45" t="s">
        <v>51</v>
      </c>
      <c r="G160" s="65" t="s">
        <v>55</v>
      </c>
      <c r="H160" s="49" t="s">
        <v>54</v>
      </c>
      <c r="I160" s="66" t="s">
        <v>884</v>
      </c>
      <c r="J160" s="12" t="s">
        <v>46</v>
      </c>
      <c r="K160" s="45" t="s">
        <v>1357</v>
      </c>
      <c r="L160" s="45" t="s">
        <v>56</v>
      </c>
      <c r="M160" s="5" t="s">
        <v>11</v>
      </c>
      <c r="N160" s="46" t="s">
        <v>10</v>
      </c>
      <c r="O160" s="45" t="s">
        <v>45</v>
      </c>
      <c r="P160" s="3" t="str">
        <f>Capacitors[[#This Row],[Footprint]]</f>
        <v>CAP-0603</v>
      </c>
    </row>
    <row r="161" spans="1:16" x14ac:dyDescent="0.25">
      <c r="A161" s="95">
        <f t="shared" si="4"/>
        <v>160</v>
      </c>
      <c r="B161" s="50" t="s">
        <v>781</v>
      </c>
      <c r="C161" s="174" t="str">
        <f t="shared" si="5"/>
        <v>CAP</v>
      </c>
      <c r="D16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20% X7R FT 0603 AECQ</v>
      </c>
      <c r="E161" s="45" t="s">
        <v>58</v>
      </c>
      <c r="F161" s="45" t="s">
        <v>51</v>
      </c>
      <c r="G161" s="65" t="s">
        <v>125</v>
      </c>
      <c r="H161" s="49" t="s">
        <v>54</v>
      </c>
      <c r="I161" s="66" t="s">
        <v>904</v>
      </c>
      <c r="J161" s="12" t="s">
        <v>46</v>
      </c>
      <c r="K161" s="45" t="s">
        <v>1358</v>
      </c>
      <c r="L161" s="45" t="s">
        <v>913</v>
      </c>
      <c r="M161" s="5" t="s">
        <v>11</v>
      </c>
      <c r="N161" s="46" t="s">
        <v>10</v>
      </c>
      <c r="O161" s="45" t="s">
        <v>45</v>
      </c>
      <c r="P161" s="3" t="str">
        <f>Capacitors[[#This Row],[Footprint]]</f>
        <v>CAP-0603</v>
      </c>
    </row>
    <row r="162" spans="1:16" x14ac:dyDescent="0.25">
      <c r="A162" s="95">
        <f t="shared" si="4"/>
        <v>161</v>
      </c>
      <c r="B162" s="63" t="s">
        <v>782</v>
      </c>
      <c r="C162" s="174" t="str">
        <f t="shared" si="5"/>
        <v>CAP</v>
      </c>
      <c r="D16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 xml:space="preserve">CAP       </v>
      </c>
      <c r="E162" s="167"/>
      <c r="F162" s="167"/>
      <c r="G162" s="168"/>
      <c r="H162" s="168"/>
      <c r="I162" s="168"/>
      <c r="J162" s="85"/>
      <c r="K162" s="54" t="s">
        <v>960</v>
      </c>
      <c r="L162" s="54"/>
      <c r="M162" s="86"/>
      <c r="N162" s="53" t="s">
        <v>10</v>
      </c>
      <c r="O162" s="54" t="s">
        <v>45</v>
      </c>
      <c r="P162" s="3">
        <f>Capacitors[[#This Row],[Footprint]]</f>
        <v>0</v>
      </c>
    </row>
    <row r="163" spans="1:16" x14ac:dyDescent="0.25">
      <c r="A163" s="95">
        <f t="shared" si="4"/>
        <v>162</v>
      </c>
      <c r="B163" s="50" t="s">
        <v>782</v>
      </c>
      <c r="C163" s="174" t="str">
        <f t="shared" si="5"/>
        <v>CAP</v>
      </c>
      <c r="D16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0603 AECQ</v>
      </c>
      <c r="E163" s="45" t="s">
        <v>881</v>
      </c>
      <c r="F163" s="45" t="s">
        <v>51</v>
      </c>
      <c r="G163" s="64" t="s">
        <v>55</v>
      </c>
      <c r="H163" s="49" t="s">
        <v>54</v>
      </c>
      <c r="I163" s="49" t="s">
        <v>882</v>
      </c>
      <c r="J163" s="12" t="s">
        <v>46</v>
      </c>
      <c r="K163" s="45" t="s">
        <v>1359</v>
      </c>
      <c r="L163" s="45" t="s">
        <v>913</v>
      </c>
      <c r="M163" s="5" t="s">
        <v>11</v>
      </c>
      <c r="N163" s="46" t="s">
        <v>10</v>
      </c>
      <c r="O163" s="45" t="s">
        <v>45</v>
      </c>
      <c r="P163" s="3" t="str">
        <f>Capacitors[[#This Row],[Footprint]]</f>
        <v>CAP-0603</v>
      </c>
    </row>
    <row r="164" spans="1:16" x14ac:dyDescent="0.25">
      <c r="A164" s="95">
        <f t="shared" si="4"/>
        <v>163</v>
      </c>
      <c r="B164" s="50" t="s">
        <v>783</v>
      </c>
      <c r="C164" s="174" t="str">
        <f t="shared" si="5"/>
        <v>CAP</v>
      </c>
      <c r="D16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0805 AECQ</v>
      </c>
      <c r="E164" s="45" t="s">
        <v>58</v>
      </c>
      <c r="F164" s="45" t="s">
        <v>51</v>
      </c>
      <c r="G164" s="64" t="s">
        <v>55</v>
      </c>
      <c r="H164" s="49" t="s">
        <v>54</v>
      </c>
      <c r="I164" s="49" t="s">
        <v>882</v>
      </c>
      <c r="J164" s="12" t="s">
        <v>49</v>
      </c>
      <c r="K164" s="45" t="s">
        <v>929</v>
      </c>
      <c r="L164" s="45" t="s">
        <v>913</v>
      </c>
      <c r="M164" s="5" t="s">
        <v>11</v>
      </c>
      <c r="N164" s="46" t="s">
        <v>10</v>
      </c>
      <c r="O164" s="45" t="s">
        <v>45</v>
      </c>
      <c r="P164" s="3" t="str">
        <f>Capacitors[[#This Row],[Footprint]]</f>
        <v>CAP-0805</v>
      </c>
    </row>
    <row r="165" spans="1:16" x14ac:dyDescent="0.25">
      <c r="A165" s="95">
        <f t="shared" si="4"/>
        <v>164</v>
      </c>
      <c r="B165" s="50" t="s">
        <v>783</v>
      </c>
      <c r="C165" s="174" t="str">
        <f t="shared" si="5"/>
        <v>CAP</v>
      </c>
      <c r="D16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0805 AECQ</v>
      </c>
      <c r="E165" s="45" t="s">
        <v>58</v>
      </c>
      <c r="F165" s="45" t="s">
        <v>51</v>
      </c>
      <c r="G165" s="64" t="s">
        <v>55</v>
      </c>
      <c r="H165" s="49" t="s">
        <v>54</v>
      </c>
      <c r="I165" s="49" t="s">
        <v>882</v>
      </c>
      <c r="J165" s="12" t="s">
        <v>49</v>
      </c>
      <c r="K165" s="45" t="s">
        <v>1311</v>
      </c>
      <c r="L165" s="45" t="s">
        <v>56</v>
      </c>
      <c r="M165" s="5" t="s">
        <v>11</v>
      </c>
      <c r="N165" s="46" t="s">
        <v>10</v>
      </c>
      <c r="O165" s="45" t="s">
        <v>45</v>
      </c>
      <c r="P165" s="3" t="str">
        <f>Capacitors[[#This Row],[Footprint]]</f>
        <v>CAP-0805</v>
      </c>
    </row>
    <row r="166" spans="1:16" x14ac:dyDescent="0.25">
      <c r="A166" s="95">
        <f t="shared" si="4"/>
        <v>165</v>
      </c>
      <c r="B166" s="50" t="s">
        <v>783</v>
      </c>
      <c r="C166" s="174" t="str">
        <f t="shared" si="5"/>
        <v>CAP</v>
      </c>
      <c r="D16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0805 AECQ</v>
      </c>
      <c r="E166" s="45" t="s">
        <v>58</v>
      </c>
      <c r="F166" s="45" t="s">
        <v>51</v>
      </c>
      <c r="G166" s="64" t="s">
        <v>55</v>
      </c>
      <c r="H166" s="49" t="s">
        <v>54</v>
      </c>
      <c r="I166" s="49" t="s">
        <v>882</v>
      </c>
      <c r="J166" s="12" t="s">
        <v>49</v>
      </c>
      <c r="K166" s="45" t="s">
        <v>1310</v>
      </c>
      <c r="L166" s="45" t="s">
        <v>32</v>
      </c>
      <c r="M166" s="5" t="s">
        <v>11</v>
      </c>
      <c r="N166" s="46" t="s">
        <v>10</v>
      </c>
      <c r="O166" s="45" t="s">
        <v>45</v>
      </c>
      <c r="P166" s="3" t="str">
        <f>Capacitors[[#This Row],[Footprint]]</f>
        <v>CAP-0805</v>
      </c>
    </row>
    <row r="167" spans="1:16" x14ac:dyDescent="0.25">
      <c r="A167" s="95">
        <f t="shared" si="4"/>
        <v>166</v>
      </c>
      <c r="B167" s="50" t="s">
        <v>784</v>
      </c>
      <c r="C167" s="174" t="str">
        <f t="shared" si="5"/>
        <v>CAP</v>
      </c>
      <c r="D16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167" s="45" t="s">
        <v>58</v>
      </c>
      <c r="F167" s="45" t="s">
        <v>51</v>
      </c>
      <c r="G167" s="64" t="s">
        <v>55</v>
      </c>
      <c r="H167" s="49" t="s">
        <v>54</v>
      </c>
      <c r="I167" s="49" t="s">
        <v>882</v>
      </c>
      <c r="J167" s="12" t="s">
        <v>46</v>
      </c>
      <c r="K167" s="45" t="s">
        <v>920</v>
      </c>
      <c r="L167" s="45" t="s">
        <v>36</v>
      </c>
      <c r="M167" s="5" t="s">
        <v>11</v>
      </c>
      <c r="N167" s="46" t="s">
        <v>10</v>
      </c>
      <c r="O167" s="45" t="s">
        <v>45</v>
      </c>
      <c r="P167" s="3" t="str">
        <f>Capacitors[[#This Row],[Footprint]]</f>
        <v>CAP-0603</v>
      </c>
    </row>
    <row r="168" spans="1:16" x14ac:dyDescent="0.25">
      <c r="A168" s="95">
        <f t="shared" si="4"/>
        <v>167</v>
      </c>
      <c r="B168" s="14" t="s">
        <v>785</v>
      </c>
      <c r="C168" s="174" t="str">
        <f t="shared" si="5"/>
        <v>CAP</v>
      </c>
      <c r="D16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X7S NFM 0603 AECQ</v>
      </c>
      <c r="E168" s="67" t="s">
        <v>59</v>
      </c>
      <c r="F168" s="67" t="s">
        <v>57</v>
      </c>
      <c r="G168" s="68" t="s">
        <v>55</v>
      </c>
      <c r="H168" s="66" t="s">
        <v>886</v>
      </c>
      <c r="I168" s="69" t="s">
        <v>882</v>
      </c>
      <c r="J168" s="23" t="s">
        <v>46</v>
      </c>
      <c r="K168" s="67" t="s">
        <v>961</v>
      </c>
      <c r="L168" s="67" t="s">
        <v>53</v>
      </c>
      <c r="M168" s="60" t="s">
        <v>11</v>
      </c>
      <c r="N168" s="81" t="s">
        <v>10</v>
      </c>
      <c r="O168" s="45" t="s">
        <v>45</v>
      </c>
      <c r="P168" s="3" t="str">
        <f>Capacitors[[#This Row],[Footprint]]</f>
        <v>CAP-0603</v>
      </c>
    </row>
    <row r="169" spans="1:16" x14ac:dyDescent="0.25">
      <c r="A169" s="95">
        <f t="shared" si="4"/>
        <v>168</v>
      </c>
      <c r="B169" s="14" t="s">
        <v>785</v>
      </c>
      <c r="C169" s="174" t="str">
        <f t="shared" si="5"/>
        <v>CAP</v>
      </c>
      <c r="D16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NFM 0805 AECQ</v>
      </c>
      <c r="E169" s="45" t="s">
        <v>59</v>
      </c>
      <c r="F169" s="45" t="s">
        <v>57</v>
      </c>
      <c r="G169" s="64" t="s">
        <v>55</v>
      </c>
      <c r="H169" s="66" t="s">
        <v>54</v>
      </c>
      <c r="I169" s="49" t="s">
        <v>882</v>
      </c>
      <c r="J169" s="23" t="s">
        <v>49</v>
      </c>
      <c r="K169" s="45" t="s">
        <v>1307</v>
      </c>
      <c r="L169" s="45" t="s">
        <v>56</v>
      </c>
      <c r="M169" s="5" t="s">
        <v>11</v>
      </c>
      <c r="N169" s="46" t="s">
        <v>10</v>
      </c>
      <c r="O169" s="45" t="s">
        <v>45</v>
      </c>
      <c r="P169" s="3" t="str">
        <f>Capacitors[[#This Row],[Footprint]]</f>
        <v>CAP-0805</v>
      </c>
    </row>
    <row r="170" spans="1:16" x14ac:dyDescent="0.25">
      <c r="A170" s="95">
        <f t="shared" si="4"/>
        <v>169</v>
      </c>
      <c r="B170" s="119" t="s">
        <v>786</v>
      </c>
      <c r="C170" s="174" t="str">
        <f t="shared" si="5"/>
        <v>CAP</v>
      </c>
      <c r="D17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NFM 0603 AECQ</v>
      </c>
      <c r="E170" s="45" t="s">
        <v>61</v>
      </c>
      <c r="F170" s="45" t="s">
        <v>57</v>
      </c>
      <c r="G170" s="64" t="s">
        <v>55</v>
      </c>
      <c r="H170" s="49" t="s">
        <v>54</v>
      </c>
      <c r="I170" s="77" t="s">
        <v>882</v>
      </c>
      <c r="J170" s="12" t="s">
        <v>46</v>
      </c>
      <c r="K170" s="45" t="s">
        <v>1326</v>
      </c>
      <c r="L170" s="45" t="s">
        <v>56</v>
      </c>
      <c r="M170" s="5" t="s">
        <v>11</v>
      </c>
      <c r="N170" s="46" t="s">
        <v>10</v>
      </c>
      <c r="O170" s="45" t="s">
        <v>45</v>
      </c>
      <c r="P170" s="3" t="str">
        <f>Capacitors[[#This Row],[Footprint]]</f>
        <v>CAP-0603</v>
      </c>
    </row>
    <row r="171" spans="1:16" x14ac:dyDescent="0.25">
      <c r="A171" s="95">
        <f t="shared" si="4"/>
        <v>170</v>
      </c>
      <c r="B171" s="119" t="s">
        <v>786</v>
      </c>
      <c r="C171" s="174" t="str">
        <f t="shared" si="5"/>
        <v>CAP</v>
      </c>
      <c r="D17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ST 0603 AECQ</v>
      </c>
      <c r="E171" s="45" t="s">
        <v>61</v>
      </c>
      <c r="F171" s="45" t="s">
        <v>57</v>
      </c>
      <c r="G171" s="64" t="s">
        <v>55</v>
      </c>
      <c r="H171" s="49" t="s">
        <v>54</v>
      </c>
      <c r="I171" s="77" t="s">
        <v>884</v>
      </c>
      <c r="J171" s="12" t="s">
        <v>46</v>
      </c>
      <c r="K171" s="45" t="s">
        <v>1325</v>
      </c>
      <c r="L171" s="45" t="s">
        <v>56</v>
      </c>
      <c r="M171" s="5" t="s">
        <v>11</v>
      </c>
      <c r="N171" s="46" t="s">
        <v>10</v>
      </c>
      <c r="O171" s="45" t="s">
        <v>45</v>
      </c>
      <c r="P171" s="3" t="str">
        <f>Capacitors[[#This Row],[Footprint]]</f>
        <v>CAP-0603</v>
      </c>
    </row>
    <row r="172" spans="1:16" x14ac:dyDescent="0.25">
      <c r="A172" s="164">
        <f t="shared" si="4"/>
        <v>171</v>
      </c>
      <c r="B172" s="14" t="s">
        <v>787</v>
      </c>
      <c r="C172" s="174" t="str">
        <f t="shared" si="5"/>
        <v>CAP</v>
      </c>
      <c r="D17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ST 0805 AECQ</v>
      </c>
      <c r="E172" s="7" t="s">
        <v>885</v>
      </c>
      <c r="F172" s="67" t="s">
        <v>57</v>
      </c>
      <c r="G172" s="68" t="s">
        <v>55</v>
      </c>
      <c r="H172" s="66" t="s">
        <v>886</v>
      </c>
      <c r="I172" s="66" t="s">
        <v>884</v>
      </c>
      <c r="J172" s="23" t="s">
        <v>49</v>
      </c>
      <c r="K172" s="67" t="s">
        <v>1350</v>
      </c>
      <c r="L172" s="67" t="s">
        <v>56</v>
      </c>
      <c r="M172" s="60" t="s">
        <v>11</v>
      </c>
      <c r="N172" s="81" t="s">
        <v>10</v>
      </c>
      <c r="O172" s="67" t="s">
        <v>45</v>
      </c>
      <c r="P172" s="3" t="str">
        <f>Capacitors[[#This Row],[Footprint]]</f>
        <v>CAP-0805</v>
      </c>
    </row>
    <row r="173" spans="1:16" x14ac:dyDescent="0.25">
      <c r="A173" s="164">
        <f t="shared" si="4"/>
        <v>172</v>
      </c>
      <c r="B173" s="14" t="s">
        <v>787</v>
      </c>
      <c r="C173" s="174" t="str">
        <f t="shared" si="5"/>
        <v>CAP</v>
      </c>
      <c r="D17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100V 10% X7R NFM 1210 AECQ</v>
      </c>
      <c r="E173" s="7" t="s">
        <v>896</v>
      </c>
      <c r="F173" s="67" t="s">
        <v>57</v>
      </c>
      <c r="G173" s="68" t="s">
        <v>55</v>
      </c>
      <c r="H173" s="66" t="s">
        <v>54</v>
      </c>
      <c r="I173" s="66" t="s">
        <v>882</v>
      </c>
      <c r="J173" s="23" t="s">
        <v>62</v>
      </c>
      <c r="K173" s="67" t="s">
        <v>962</v>
      </c>
      <c r="L173" s="67" t="s">
        <v>37</v>
      </c>
      <c r="M173" s="60" t="s">
        <v>11</v>
      </c>
      <c r="N173" s="81" t="s">
        <v>10</v>
      </c>
      <c r="O173" s="67" t="s">
        <v>45</v>
      </c>
      <c r="P173" s="3" t="str">
        <f>Capacitors[[#This Row],[Footprint]]</f>
        <v>CAP-1210</v>
      </c>
    </row>
    <row r="174" spans="1:16" x14ac:dyDescent="0.25">
      <c r="A174" s="95">
        <f t="shared" si="4"/>
        <v>173</v>
      </c>
      <c r="B174" s="50" t="s">
        <v>788</v>
      </c>
      <c r="C174" s="174" t="str">
        <f t="shared" si="5"/>
        <v>CAP</v>
      </c>
      <c r="D17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ST 0805 AECQ</v>
      </c>
      <c r="E174" s="45" t="s">
        <v>885</v>
      </c>
      <c r="F174" s="45" t="s">
        <v>51</v>
      </c>
      <c r="G174" s="64" t="s">
        <v>55</v>
      </c>
      <c r="H174" s="49" t="s">
        <v>54</v>
      </c>
      <c r="I174" s="49" t="s">
        <v>884</v>
      </c>
      <c r="J174" s="12" t="s">
        <v>49</v>
      </c>
      <c r="K174" s="45" t="s">
        <v>1288</v>
      </c>
      <c r="L174" s="45" t="s">
        <v>56</v>
      </c>
      <c r="M174" s="5" t="s">
        <v>11</v>
      </c>
      <c r="N174" s="46" t="s">
        <v>10</v>
      </c>
      <c r="O174" s="45" t="s">
        <v>45</v>
      </c>
      <c r="P174" s="3" t="str">
        <f>Capacitors[[#This Row],[Footprint]]</f>
        <v>CAP-0805</v>
      </c>
    </row>
    <row r="175" spans="1:16" x14ac:dyDescent="0.25">
      <c r="A175" s="95">
        <f t="shared" si="4"/>
        <v>174</v>
      </c>
      <c r="B175" s="50" t="s">
        <v>789</v>
      </c>
      <c r="C175" s="174" t="str">
        <f t="shared" si="5"/>
        <v>CAP</v>
      </c>
      <c r="D17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NFM 0805 AECQ</v>
      </c>
      <c r="E175" s="45" t="s">
        <v>59</v>
      </c>
      <c r="F175" s="45" t="s">
        <v>57</v>
      </c>
      <c r="G175" s="64" t="s">
        <v>55</v>
      </c>
      <c r="H175" s="49" t="s">
        <v>54</v>
      </c>
      <c r="I175" s="49" t="s">
        <v>882</v>
      </c>
      <c r="J175" s="12" t="s">
        <v>49</v>
      </c>
      <c r="K175" s="45" t="s">
        <v>1307</v>
      </c>
      <c r="L175" s="45" t="s">
        <v>56</v>
      </c>
      <c r="M175" s="5" t="s">
        <v>11</v>
      </c>
      <c r="N175" s="46" t="s">
        <v>10</v>
      </c>
      <c r="O175" s="45" t="s">
        <v>45</v>
      </c>
      <c r="P175" s="3" t="str">
        <f>Capacitors[[#This Row],[Footprint]]</f>
        <v>CAP-0805</v>
      </c>
    </row>
    <row r="176" spans="1:16" x14ac:dyDescent="0.25">
      <c r="A176" s="95">
        <f t="shared" si="4"/>
        <v>175</v>
      </c>
      <c r="B176" s="50" t="s">
        <v>790</v>
      </c>
      <c r="C176" s="174" t="str">
        <f t="shared" si="5"/>
        <v>CAP</v>
      </c>
      <c r="D17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ST 0603 AECQ</v>
      </c>
      <c r="E176" s="45" t="s">
        <v>58</v>
      </c>
      <c r="F176" s="45" t="s">
        <v>51</v>
      </c>
      <c r="G176" s="64" t="s">
        <v>55</v>
      </c>
      <c r="H176" s="49" t="s">
        <v>54</v>
      </c>
      <c r="I176" s="49" t="s">
        <v>884</v>
      </c>
      <c r="J176" s="12" t="s">
        <v>46</v>
      </c>
      <c r="K176" s="45" t="s">
        <v>1357</v>
      </c>
      <c r="L176" s="45" t="s">
        <v>56</v>
      </c>
      <c r="M176" s="5" t="s">
        <v>11</v>
      </c>
      <c r="N176" s="46" t="s">
        <v>10</v>
      </c>
      <c r="O176" s="45" t="s">
        <v>45</v>
      </c>
      <c r="P176" s="3" t="str">
        <f>Capacitors[[#This Row],[Footprint]]</f>
        <v>CAP-0603</v>
      </c>
    </row>
    <row r="177" spans="1:16" x14ac:dyDescent="0.25">
      <c r="A177" s="164">
        <f t="shared" si="4"/>
        <v>176</v>
      </c>
      <c r="B177" s="14" t="s">
        <v>791</v>
      </c>
      <c r="C177" s="174" t="str">
        <f t="shared" si="5"/>
        <v>CAP</v>
      </c>
      <c r="D17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100V 10% X7R ST 0805 AECQ</v>
      </c>
      <c r="E177" s="67" t="s">
        <v>890</v>
      </c>
      <c r="F177" s="67" t="s">
        <v>57</v>
      </c>
      <c r="G177" s="65" t="s">
        <v>55</v>
      </c>
      <c r="H177" s="66" t="s">
        <v>54</v>
      </c>
      <c r="I177" s="69" t="s">
        <v>884</v>
      </c>
      <c r="J177" s="88" t="s">
        <v>49</v>
      </c>
      <c r="K177" s="67" t="s">
        <v>1298</v>
      </c>
      <c r="L177" s="67" t="s">
        <v>56</v>
      </c>
      <c r="M177" s="15" t="s">
        <v>11</v>
      </c>
      <c r="N177" s="81" t="s">
        <v>10</v>
      </c>
      <c r="O177" s="67" t="s">
        <v>45</v>
      </c>
      <c r="P177" s="3" t="str">
        <f>Capacitors[[#This Row],[Footprint]]</f>
        <v>CAP-0805</v>
      </c>
    </row>
    <row r="178" spans="1:16" x14ac:dyDescent="0.25">
      <c r="A178" s="164">
        <f t="shared" si="4"/>
        <v>177</v>
      </c>
      <c r="B178" s="14" t="s">
        <v>791</v>
      </c>
      <c r="C178" s="174" t="str">
        <f t="shared" si="5"/>
        <v>CAP</v>
      </c>
      <c r="D17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100V 20% X8R ST 0805 AECQ</v>
      </c>
      <c r="E178" s="67" t="s">
        <v>890</v>
      </c>
      <c r="F178" s="67" t="s">
        <v>57</v>
      </c>
      <c r="G178" s="65" t="s">
        <v>125</v>
      </c>
      <c r="H178" s="66" t="s">
        <v>905</v>
      </c>
      <c r="I178" s="69" t="s">
        <v>884</v>
      </c>
      <c r="J178" s="88" t="s">
        <v>49</v>
      </c>
      <c r="K178" s="67" t="s">
        <v>963</v>
      </c>
      <c r="L178" s="67" t="s">
        <v>53</v>
      </c>
      <c r="M178" s="15" t="s">
        <v>11</v>
      </c>
      <c r="N178" s="81" t="s">
        <v>10</v>
      </c>
      <c r="O178" s="67" t="s">
        <v>45</v>
      </c>
      <c r="P178" s="3" t="str">
        <f>Capacitors[[#This Row],[Footprint]]</f>
        <v>CAP-0805</v>
      </c>
    </row>
    <row r="179" spans="1:16" x14ac:dyDescent="0.25">
      <c r="A179" s="164">
        <f t="shared" si="4"/>
        <v>178</v>
      </c>
      <c r="B179" s="14" t="s">
        <v>791</v>
      </c>
      <c r="C179" s="174" t="str">
        <f t="shared" si="5"/>
        <v>CAP</v>
      </c>
      <c r="D17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100V 10% X7R ST 0805 STD</v>
      </c>
      <c r="E179" s="67" t="s">
        <v>890</v>
      </c>
      <c r="F179" s="67" t="s">
        <v>57</v>
      </c>
      <c r="G179" s="65" t="s">
        <v>55</v>
      </c>
      <c r="H179" s="66" t="s">
        <v>54</v>
      </c>
      <c r="I179" s="69" t="s">
        <v>884</v>
      </c>
      <c r="J179" s="88" t="s">
        <v>49</v>
      </c>
      <c r="K179" s="67" t="s">
        <v>1360</v>
      </c>
      <c r="L179" s="67" t="s">
        <v>32</v>
      </c>
      <c r="M179" s="15" t="s">
        <v>1561</v>
      </c>
      <c r="N179" s="81" t="s">
        <v>10</v>
      </c>
      <c r="O179" s="67" t="s">
        <v>45</v>
      </c>
      <c r="P179" s="3" t="str">
        <f>Capacitors[[#This Row],[Footprint]]</f>
        <v>CAP-0805</v>
      </c>
    </row>
    <row r="180" spans="1:16" x14ac:dyDescent="0.25">
      <c r="A180" s="164">
        <f t="shared" si="4"/>
        <v>179</v>
      </c>
      <c r="B180" s="61" t="s">
        <v>792</v>
      </c>
      <c r="C180" s="174" t="str">
        <f t="shared" si="5"/>
        <v>CAP</v>
      </c>
      <c r="D18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0603 AECQ</v>
      </c>
      <c r="E180" s="67" t="s">
        <v>895</v>
      </c>
      <c r="F180" s="67" t="s">
        <v>51</v>
      </c>
      <c r="G180" s="68" t="s">
        <v>55</v>
      </c>
      <c r="H180" s="69" t="s">
        <v>54</v>
      </c>
      <c r="I180" s="69" t="s">
        <v>882</v>
      </c>
      <c r="J180" s="88" t="s">
        <v>46</v>
      </c>
      <c r="K180" s="166" t="s">
        <v>1361</v>
      </c>
      <c r="L180" s="67" t="s">
        <v>913</v>
      </c>
      <c r="M180" s="60" t="s">
        <v>11</v>
      </c>
      <c r="N180" s="81" t="s">
        <v>10</v>
      </c>
      <c r="O180" s="67" t="s">
        <v>45</v>
      </c>
      <c r="P180" s="3" t="str">
        <f>Capacitors[[#This Row],[Footprint]]</f>
        <v>CAP-0603</v>
      </c>
    </row>
    <row r="181" spans="1:16" x14ac:dyDescent="0.25">
      <c r="A181" s="164">
        <f t="shared" si="4"/>
        <v>180</v>
      </c>
      <c r="B181" s="61" t="s">
        <v>792</v>
      </c>
      <c r="C181" s="174" t="str">
        <f t="shared" si="5"/>
        <v>CAP</v>
      </c>
      <c r="D18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0603 AECQ</v>
      </c>
      <c r="E181" s="67" t="s">
        <v>895</v>
      </c>
      <c r="F181" s="67" t="s">
        <v>51</v>
      </c>
      <c r="G181" s="68" t="s">
        <v>55</v>
      </c>
      <c r="H181" s="69" t="s">
        <v>54</v>
      </c>
      <c r="I181" s="69" t="s">
        <v>882</v>
      </c>
      <c r="J181" s="88" t="s">
        <v>46</v>
      </c>
      <c r="K181" s="67" t="s">
        <v>1362</v>
      </c>
      <c r="L181" s="67" t="s">
        <v>913</v>
      </c>
      <c r="M181" s="60" t="s">
        <v>11</v>
      </c>
      <c r="N181" s="81" t="s">
        <v>10</v>
      </c>
      <c r="O181" s="67" t="s">
        <v>45</v>
      </c>
      <c r="P181" s="3" t="str">
        <f>Capacitors[[#This Row],[Footprint]]</f>
        <v>CAP-0603</v>
      </c>
    </row>
    <row r="182" spans="1:16" x14ac:dyDescent="0.25">
      <c r="A182" s="95">
        <f t="shared" si="4"/>
        <v>181</v>
      </c>
      <c r="B182" s="50" t="s">
        <v>793</v>
      </c>
      <c r="C182" s="174" t="str">
        <f t="shared" si="5"/>
        <v>CAP</v>
      </c>
      <c r="D18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0603 AECQ</v>
      </c>
      <c r="E182" s="45" t="s">
        <v>61</v>
      </c>
      <c r="F182" s="45" t="s">
        <v>51</v>
      </c>
      <c r="G182" s="64" t="s">
        <v>55</v>
      </c>
      <c r="H182" s="49" t="s">
        <v>54</v>
      </c>
      <c r="I182" s="49" t="s">
        <v>882</v>
      </c>
      <c r="J182" s="12" t="s">
        <v>46</v>
      </c>
      <c r="K182" s="45" t="s">
        <v>1345</v>
      </c>
      <c r="L182" s="45" t="s">
        <v>32</v>
      </c>
      <c r="M182" s="5" t="s">
        <v>11</v>
      </c>
      <c r="N182" s="46" t="s">
        <v>10</v>
      </c>
      <c r="O182" s="45" t="s">
        <v>45</v>
      </c>
      <c r="P182" s="3" t="str">
        <f>Capacitors[[#This Row],[Footprint]]</f>
        <v>CAP-0603</v>
      </c>
    </row>
    <row r="183" spans="1:16" x14ac:dyDescent="0.25">
      <c r="A183" s="95">
        <f t="shared" si="4"/>
        <v>182</v>
      </c>
      <c r="B183" s="50" t="s">
        <v>794</v>
      </c>
      <c r="C183" s="174" t="str">
        <f t="shared" si="5"/>
        <v>CAP</v>
      </c>
      <c r="D18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50V 10% X7R NFM 0603 AECQ</v>
      </c>
      <c r="E183" s="45" t="s">
        <v>900</v>
      </c>
      <c r="F183" s="45" t="s">
        <v>51</v>
      </c>
      <c r="G183" s="64" t="s">
        <v>55</v>
      </c>
      <c r="H183" s="49" t="s">
        <v>54</v>
      </c>
      <c r="I183" s="49" t="s">
        <v>882</v>
      </c>
      <c r="J183" s="12" t="s">
        <v>46</v>
      </c>
      <c r="K183" s="45" t="s">
        <v>964</v>
      </c>
      <c r="L183" s="45" t="s">
        <v>53</v>
      </c>
      <c r="M183" s="5" t="s">
        <v>11</v>
      </c>
      <c r="N183" s="46" t="s">
        <v>10</v>
      </c>
      <c r="O183" s="45" t="s">
        <v>45</v>
      </c>
      <c r="P183" s="3" t="str">
        <f>Capacitors[[#This Row],[Footprint]]</f>
        <v>CAP-0603</v>
      </c>
    </row>
    <row r="184" spans="1:16" x14ac:dyDescent="0.25">
      <c r="A184" s="95">
        <f t="shared" si="4"/>
        <v>183</v>
      </c>
      <c r="B184" s="50" t="s">
        <v>795</v>
      </c>
      <c r="C184" s="174" t="str">
        <f t="shared" si="5"/>
        <v>CAP</v>
      </c>
      <c r="D18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184" s="45" t="s">
        <v>58</v>
      </c>
      <c r="F184" s="45" t="s">
        <v>51</v>
      </c>
      <c r="G184" s="64" t="s">
        <v>55</v>
      </c>
      <c r="H184" s="49" t="s">
        <v>54</v>
      </c>
      <c r="I184" s="49" t="s">
        <v>882</v>
      </c>
      <c r="J184" s="12" t="s">
        <v>46</v>
      </c>
      <c r="K184" s="45" t="s">
        <v>1303</v>
      </c>
      <c r="L184" s="45" t="s">
        <v>56</v>
      </c>
      <c r="M184" s="5" t="s">
        <v>11</v>
      </c>
      <c r="N184" s="46" t="s">
        <v>10</v>
      </c>
      <c r="O184" s="45" t="s">
        <v>45</v>
      </c>
      <c r="P184" s="3" t="str">
        <f>Capacitors[[#This Row],[Footprint]]</f>
        <v>CAP-0603</v>
      </c>
    </row>
    <row r="185" spans="1:16" x14ac:dyDescent="0.25">
      <c r="A185" s="95">
        <f t="shared" si="4"/>
        <v>184</v>
      </c>
      <c r="B185" s="50" t="s">
        <v>796</v>
      </c>
      <c r="C185" s="174" t="str">
        <f t="shared" si="5"/>
        <v>CAP</v>
      </c>
      <c r="D18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0603 AECQ</v>
      </c>
      <c r="E185" s="45" t="s">
        <v>895</v>
      </c>
      <c r="F185" s="45" t="s">
        <v>51</v>
      </c>
      <c r="G185" s="64" t="s">
        <v>55</v>
      </c>
      <c r="H185" s="49" t="s">
        <v>54</v>
      </c>
      <c r="I185" s="49" t="s">
        <v>882</v>
      </c>
      <c r="J185" s="12" t="s">
        <v>46</v>
      </c>
      <c r="K185" s="45" t="s">
        <v>1362</v>
      </c>
      <c r="L185" s="45" t="s">
        <v>913</v>
      </c>
      <c r="M185" s="5" t="s">
        <v>11</v>
      </c>
      <c r="N185" s="46" t="s">
        <v>10</v>
      </c>
      <c r="O185" s="45" t="s">
        <v>45</v>
      </c>
      <c r="P185" s="3" t="str">
        <f>Capacitors[[#This Row],[Footprint]]</f>
        <v>CAP-0603</v>
      </c>
    </row>
    <row r="186" spans="1:16" x14ac:dyDescent="0.25">
      <c r="A186" s="164">
        <f t="shared" si="4"/>
        <v>185</v>
      </c>
      <c r="B186" s="61" t="s">
        <v>797</v>
      </c>
      <c r="C186" s="174" t="str">
        <f t="shared" si="5"/>
        <v>CAP</v>
      </c>
      <c r="D18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20% X7R NFM 1210 AECQ</v>
      </c>
      <c r="E186" s="67" t="s">
        <v>896</v>
      </c>
      <c r="F186" s="67" t="s">
        <v>51</v>
      </c>
      <c r="G186" s="68" t="s">
        <v>125</v>
      </c>
      <c r="H186" s="69" t="s">
        <v>54</v>
      </c>
      <c r="I186" s="69" t="s">
        <v>882</v>
      </c>
      <c r="J186" s="88" t="s">
        <v>62</v>
      </c>
      <c r="K186" s="67" t="s">
        <v>1363</v>
      </c>
      <c r="L186" s="67" t="s">
        <v>958</v>
      </c>
      <c r="M186" s="60" t="s">
        <v>11</v>
      </c>
      <c r="N186" s="81" t="s">
        <v>10</v>
      </c>
      <c r="O186" s="67" t="s">
        <v>45</v>
      </c>
      <c r="P186" s="3" t="str">
        <f>Capacitors[[#This Row],[Footprint]]</f>
        <v>CAP-1210</v>
      </c>
    </row>
    <row r="187" spans="1:16" x14ac:dyDescent="0.25">
      <c r="A187" s="95">
        <f t="shared" si="4"/>
        <v>186</v>
      </c>
      <c r="B187" s="50" t="s">
        <v>798</v>
      </c>
      <c r="C187" s="174" t="str">
        <f t="shared" si="5"/>
        <v>CAP</v>
      </c>
      <c r="D18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68nF 50V 10% X7R OM 0603 AECQ</v>
      </c>
      <c r="E187" s="45" t="s">
        <v>906</v>
      </c>
      <c r="F187" s="45" t="s">
        <v>51</v>
      </c>
      <c r="G187" s="64" t="s">
        <v>55</v>
      </c>
      <c r="H187" s="49" t="s">
        <v>54</v>
      </c>
      <c r="I187" s="49" t="s">
        <v>883</v>
      </c>
      <c r="J187" s="12" t="s">
        <v>46</v>
      </c>
      <c r="K187" s="45" t="s">
        <v>1364</v>
      </c>
      <c r="L187" s="45" t="s">
        <v>32</v>
      </c>
      <c r="M187" s="5" t="s">
        <v>11</v>
      </c>
      <c r="N187" s="46" t="s">
        <v>10</v>
      </c>
      <c r="O187" s="45" t="s">
        <v>45</v>
      </c>
      <c r="P187" s="3" t="str">
        <f>Capacitors[[#This Row],[Footprint]]</f>
        <v>CAP-0603</v>
      </c>
    </row>
    <row r="188" spans="1:16" x14ac:dyDescent="0.25">
      <c r="A188" s="95">
        <f t="shared" si="4"/>
        <v>187</v>
      </c>
      <c r="B188" s="50" t="s">
        <v>798</v>
      </c>
      <c r="C188" s="174" t="str">
        <f t="shared" si="5"/>
        <v>CAP</v>
      </c>
      <c r="D18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68nF 50V 10% X7R OM 0603 AECQ</v>
      </c>
      <c r="E188" s="45" t="s">
        <v>906</v>
      </c>
      <c r="F188" s="45" t="s">
        <v>51</v>
      </c>
      <c r="G188" s="64" t="s">
        <v>55</v>
      </c>
      <c r="H188" s="49" t="s">
        <v>54</v>
      </c>
      <c r="I188" s="49" t="s">
        <v>883</v>
      </c>
      <c r="J188" s="12" t="s">
        <v>46</v>
      </c>
      <c r="K188" s="45" t="s">
        <v>1365</v>
      </c>
      <c r="L188" s="45" t="s">
        <v>32</v>
      </c>
      <c r="M188" s="5" t="s">
        <v>11</v>
      </c>
      <c r="N188" s="46" t="s">
        <v>10</v>
      </c>
      <c r="O188" s="45" t="s">
        <v>45</v>
      </c>
      <c r="P188" s="3" t="str">
        <f>Capacitors[[#This Row],[Footprint]]</f>
        <v>CAP-0603</v>
      </c>
    </row>
    <row r="189" spans="1:16" x14ac:dyDescent="0.25">
      <c r="A189" s="95">
        <f t="shared" si="4"/>
        <v>188</v>
      </c>
      <c r="B189" s="50" t="s">
        <v>799</v>
      </c>
      <c r="C189" s="174" t="str">
        <f t="shared" si="5"/>
        <v>CAP</v>
      </c>
      <c r="D18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FT 0805 AECQ</v>
      </c>
      <c r="E189" s="45" t="s">
        <v>59</v>
      </c>
      <c r="F189" s="45" t="s">
        <v>57</v>
      </c>
      <c r="G189" s="64" t="s">
        <v>55</v>
      </c>
      <c r="H189" s="49" t="s">
        <v>54</v>
      </c>
      <c r="I189" s="49" t="s">
        <v>904</v>
      </c>
      <c r="J189" s="12" t="s">
        <v>49</v>
      </c>
      <c r="K189" s="45" t="s">
        <v>965</v>
      </c>
      <c r="L189" s="45" t="s">
        <v>913</v>
      </c>
      <c r="M189" s="5" t="s">
        <v>11</v>
      </c>
      <c r="N189" s="46" t="s">
        <v>10</v>
      </c>
      <c r="O189" s="45" t="s">
        <v>45</v>
      </c>
      <c r="P189" s="3" t="str">
        <f>Capacitors[[#This Row],[Footprint]]</f>
        <v>CAP-0805</v>
      </c>
    </row>
    <row r="190" spans="1:16" x14ac:dyDescent="0.25">
      <c r="A190" s="95">
        <f t="shared" si="4"/>
        <v>189</v>
      </c>
      <c r="B190" s="62" t="s">
        <v>800</v>
      </c>
      <c r="C190" s="174" t="str">
        <f t="shared" si="5"/>
        <v>CAP</v>
      </c>
      <c r="D19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FT 0805 AECQ</v>
      </c>
      <c r="E190" s="72" t="s">
        <v>59</v>
      </c>
      <c r="F190" s="72" t="s">
        <v>57</v>
      </c>
      <c r="G190" s="73" t="s">
        <v>55</v>
      </c>
      <c r="H190" s="74" t="s">
        <v>54</v>
      </c>
      <c r="I190" s="74" t="s">
        <v>904</v>
      </c>
      <c r="J190" s="89" t="s">
        <v>49</v>
      </c>
      <c r="K190" s="72" t="s">
        <v>966</v>
      </c>
      <c r="L190" s="72" t="s">
        <v>913</v>
      </c>
      <c r="M190" s="82" t="s">
        <v>11</v>
      </c>
      <c r="N190" s="83" t="s">
        <v>10</v>
      </c>
      <c r="O190" s="72" t="s">
        <v>45</v>
      </c>
      <c r="P190" s="3" t="str">
        <f>Capacitors[[#This Row],[Footprint]]</f>
        <v>CAP-0805</v>
      </c>
    </row>
    <row r="191" spans="1:16" x14ac:dyDescent="0.25">
      <c r="A191" s="95">
        <f t="shared" si="4"/>
        <v>190</v>
      </c>
      <c r="B191" s="62" t="s">
        <v>800</v>
      </c>
      <c r="C191" s="174" t="str">
        <f t="shared" si="5"/>
        <v>CAP</v>
      </c>
      <c r="D19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ST 0805 AECQ</v>
      </c>
      <c r="E191" s="72" t="s">
        <v>59</v>
      </c>
      <c r="F191" s="72" t="s">
        <v>57</v>
      </c>
      <c r="G191" s="73" t="s">
        <v>55</v>
      </c>
      <c r="H191" s="74" t="s">
        <v>54</v>
      </c>
      <c r="I191" s="74" t="s">
        <v>884</v>
      </c>
      <c r="J191" s="89" t="s">
        <v>49</v>
      </c>
      <c r="K191" s="72" t="s">
        <v>1292</v>
      </c>
      <c r="L191" s="72" t="s">
        <v>56</v>
      </c>
      <c r="M191" s="82" t="s">
        <v>11</v>
      </c>
      <c r="N191" s="83" t="s">
        <v>10</v>
      </c>
      <c r="O191" s="72" t="s">
        <v>45</v>
      </c>
      <c r="P191" s="3" t="str">
        <f>Capacitors[[#This Row],[Footprint]]</f>
        <v>CAP-0805</v>
      </c>
    </row>
    <row r="192" spans="1:16" x14ac:dyDescent="0.25">
      <c r="A192" s="95">
        <f t="shared" si="4"/>
        <v>191</v>
      </c>
      <c r="B192" s="62" t="s">
        <v>800</v>
      </c>
      <c r="C192" s="174" t="str">
        <f t="shared" si="5"/>
        <v>CAP</v>
      </c>
      <c r="D19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FT 0805 AECQ</v>
      </c>
      <c r="E192" s="72" t="s">
        <v>59</v>
      </c>
      <c r="F192" s="72" t="s">
        <v>57</v>
      </c>
      <c r="G192" s="73" t="s">
        <v>55</v>
      </c>
      <c r="H192" s="74" t="s">
        <v>54</v>
      </c>
      <c r="I192" s="74" t="s">
        <v>904</v>
      </c>
      <c r="J192" s="89" t="s">
        <v>49</v>
      </c>
      <c r="K192" s="72" t="s">
        <v>965</v>
      </c>
      <c r="L192" s="72" t="s">
        <v>913</v>
      </c>
      <c r="M192" s="82" t="s">
        <v>11</v>
      </c>
      <c r="N192" s="83" t="s">
        <v>10</v>
      </c>
      <c r="O192" s="72" t="s">
        <v>45</v>
      </c>
      <c r="P192" s="3" t="str">
        <f>Capacitors[[#This Row],[Footprint]]</f>
        <v>CAP-0805</v>
      </c>
    </row>
    <row r="193" spans="1:16" x14ac:dyDescent="0.25">
      <c r="A193" s="95">
        <f t="shared" si="4"/>
        <v>192</v>
      </c>
      <c r="B193" s="50" t="s">
        <v>801</v>
      </c>
      <c r="C193" s="174" t="str">
        <f t="shared" si="5"/>
        <v>CAP</v>
      </c>
      <c r="D19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33nF 50V 10% X7R NFM 0603 AECQ</v>
      </c>
      <c r="E193" s="45" t="s">
        <v>907</v>
      </c>
      <c r="F193" s="45" t="s">
        <v>51</v>
      </c>
      <c r="G193" s="64" t="s">
        <v>55</v>
      </c>
      <c r="H193" s="49" t="s">
        <v>54</v>
      </c>
      <c r="I193" s="49" t="s">
        <v>882</v>
      </c>
      <c r="J193" s="12" t="s">
        <v>46</v>
      </c>
      <c r="K193" s="45" t="s">
        <v>967</v>
      </c>
      <c r="L193" s="45" t="s">
        <v>53</v>
      </c>
      <c r="M193" s="5" t="s">
        <v>11</v>
      </c>
      <c r="N193" s="46" t="s">
        <v>10</v>
      </c>
      <c r="O193" s="45" t="s">
        <v>45</v>
      </c>
      <c r="P193" s="3" t="str">
        <f>Capacitors[[#This Row],[Footprint]]</f>
        <v>CAP-0603</v>
      </c>
    </row>
    <row r="194" spans="1:16" x14ac:dyDescent="0.25">
      <c r="A194" s="164">
        <f t="shared" si="4"/>
        <v>193</v>
      </c>
      <c r="B194" s="14" t="s">
        <v>802</v>
      </c>
      <c r="C194" s="174" t="str">
        <f t="shared" si="5"/>
        <v>CAP</v>
      </c>
      <c r="D19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0603 AECQ</v>
      </c>
      <c r="E194" s="67" t="s">
        <v>61</v>
      </c>
      <c r="F194" s="67" t="s">
        <v>51</v>
      </c>
      <c r="G194" s="68" t="s">
        <v>55</v>
      </c>
      <c r="H194" s="69" t="s">
        <v>54</v>
      </c>
      <c r="I194" s="66" t="s">
        <v>882</v>
      </c>
      <c r="J194" s="88" t="s">
        <v>46</v>
      </c>
      <c r="K194" s="67" t="s">
        <v>1366</v>
      </c>
      <c r="L194" s="67" t="s">
        <v>32</v>
      </c>
      <c r="M194" s="60" t="s">
        <v>11</v>
      </c>
      <c r="N194" s="81" t="s">
        <v>10</v>
      </c>
      <c r="O194" s="67" t="s">
        <v>45</v>
      </c>
      <c r="P194" s="3" t="str">
        <f>Capacitors[[#This Row],[Footprint]]</f>
        <v>CAP-0603</v>
      </c>
    </row>
    <row r="195" spans="1:16" x14ac:dyDescent="0.25">
      <c r="A195" s="164">
        <f t="shared" ref="A195:A258" si="6">ROW()-1</f>
        <v>194</v>
      </c>
      <c r="B195" s="14" t="s">
        <v>802</v>
      </c>
      <c r="C195" s="174" t="str">
        <f t="shared" si="5"/>
        <v>CAP</v>
      </c>
      <c r="D19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OM 0603 AECQ</v>
      </c>
      <c r="E195" s="67" t="s">
        <v>61</v>
      </c>
      <c r="F195" s="67" t="s">
        <v>51</v>
      </c>
      <c r="G195" s="68" t="s">
        <v>55</v>
      </c>
      <c r="H195" s="69" t="s">
        <v>54</v>
      </c>
      <c r="I195" s="66" t="s">
        <v>883</v>
      </c>
      <c r="J195" s="88" t="s">
        <v>46</v>
      </c>
      <c r="K195" s="67" t="s">
        <v>1367</v>
      </c>
      <c r="L195" s="67" t="s">
        <v>32</v>
      </c>
      <c r="M195" s="60" t="s">
        <v>11</v>
      </c>
      <c r="N195" s="81" t="s">
        <v>10</v>
      </c>
      <c r="O195" s="67" t="s">
        <v>45</v>
      </c>
      <c r="P195" s="3" t="str">
        <f>Capacitors[[#This Row],[Footprint]]</f>
        <v>CAP-0603</v>
      </c>
    </row>
    <row r="196" spans="1:16" x14ac:dyDescent="0.25">
      <c r="A196" s="164">
        <f t="shared" si="6"/>
        <v>195</v>
      </c>
      <c r="B196" s="14" t="s">
        <v>802</v>
      </c>
      <c r="C196" s="174" t="str">
        <f t="shared" ref="C196:C259" si="7">"CAP"</f>
        <v>CAP</v>
      </c>
      <c r="D19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OM 0603 AECQ</v>
      </c>
      <c r="E196" s="67" t="s">
        <v>61</v>
      </c>
      <c r="F196" s="67" t="s">
        <v>51</v>
      </c>
      <c r="G196" s="68" t="s">
        <v>55</v>
      </c>
      <c r="H196" s="69" t="s">
        <v>54</v>
      </c>
      <c r="I196" s="66" t="s">
        <v>883</v>
      </c>
      <c r="J196" s="88" t="s">
        <v>46</v>
      </c>
      <c r="K196" s="67" t="s">
        <v>1344</v>
      </c>
      <c r="L196" s="67" t="s">
        <v>32</v>
      </c>
      <c r="M196" s="60" t="s">
        <v>11</v>
      </c>
      <c r="N196" s="81" t="s">
        <v>10</v>
      </c>
      <c r="O196" s="67" t="s">
        <v>45</v>
      </c>
      <c r="P196" s="3" t="str">
        <f>Capacitors[[#This Row],[Footprint]]</f>
        <v>CAP-0603</v>
      </c>
    </row>
    <row r="197" spans="1:16" x14ac:dyDescent="0.25">
      <c r="A197" s="164">
        <f t="shared" si="6"/>
        <v>196</v>
      </c>
      <c r="B197" s="119" t="s">
        <v>803</v>
      </c>
      <c r="C197" s="174" t="str">
        <f t="shared" si="7"/>
        <v>CAP</v>
      </c>
      <c r="D19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35V 10% ? NFM 1206 AECQ</v>
      </c>
      <c r="E197" s="67" t="s">
        <v>885</v>
      </c>
      <c r="F197" s="67" t="s">
        <v>908</v>
      </c>
      <c r="G197" s="68" t="s">
        <v>55</v>
      </c>
      <c r="H197" s="70" t="s">
        <v>250</v>
      </c>
      <c r="I197" s="69" t="s">
        <v>882</v>
      </c>
      <c r="J197" s="88" t="s">
        <v>50</v>
      </c>
      <c r="K197" s="67" t="s">
        <v>968</v>
      </c>
      <c r="L197" s="67" t="s">
        <v>913</v>
      </c>
      <c r="M197" s="60" t="s">
        <v>11</v>
      </c>
      <c r="N197" s="81" t="s">
        <v>10</v>
      </c>
      <c r="O197" s="67" t="s">
        <v>45</v>
      </c>
      <c r="P197" s="3" t="str">
        <f>Capacitors[[#This Row],[Footprint]]</f>
        <v>CAP-1206</v>
      </c>
    </row>
    <row r="198" spans="1:16" x14ac:dyDescent="0.25">
      <c r="A198" s="95">
        <f t="shared" si="6"/>
        <v>197</v>
      </c>
      <c r="B198" s="50" t="s">
        <v>804</v>
      </c>
      <c r="C198" s="174" t="str">
        <f t="shared" si="7"/>
        <v>CAP</v>
      </c>
      <c r="D19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FT 1206 AECQ</v>
      </c>
      <c r="E198" s="45" t="s">
        <v>59</v>
      </c>
      <c r="F198" s="45" t="s">
        <v>57</v>
      </c>
      <c r="G198" s="64" t="s">
        <v>55</v>
      </c>
      <c r="H198" s="49" t="s">
        <v>54</v>
      </c>
      <c r="I198" s="49" t="s">
        <v>904</v>
      </c>
      <c r="J198" s="12" t="s">
        <v>50</v>
      </c>
      <c r="K198" s="45" t="s">
        <v>969</v>
      </c>
      <c r="L198" s="45" t="s">
        <v>37</v>
      </c>
      <c r="M198" s="5" t="s">
        <v>11</v>
      </c>
      <c r="N198" s="46" t="s">
        <v>10</v>
      </c>
      <c r="O198" s="45" t="s">
        <v>45</v>
      </c>
      <c r="P198" s="3" t="str">
        <f>Capacitors[[#This Row],[Footprint]]</f>
        <v>CAP-1206</v>
      </c>
    </row>
    <row r="199" spans="1:16" x14ac:dyDescent="0.25">
      <c r="A199" s="95">
        <f t="shared" si="6"/>
        <v>198</v>
      </c>
      <c r="B199" s="50" t="s">
        <v>805</v>
      </c>
      <c r="C199" s="174" t="str">
        <f t="shared" si="7"/>
        <v>CAP</v>
      </c>
      <c r="D19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50V 5% C0G NFM 0603 AECQ</v>
      </c>
      <c r="E199" s="45" t="s">
        <v>887</v>
      </c>
      <c r="F199" s="67" t="s">
        <v>51</v>
      </c>
      <c r="G199" s="64" t="s">
        <v>410</v>
      </c>
      <c r="H199" s="49" t="s">
        <v>889</v>
      </c>
      <c r="I199" s="49" t="s">
        <v>882</v>
      </c>
      <c r="J199" s="12" t="s">
        <v>46</v>
      </c>
      <c r="K199" s="45" t="s">
        <v>970</v>
      </c>
      <c r="L199" s="45" t="s">
        <v>53</v>
      </c>
      <c r="M199" s="5" t="s">
        <v>11</v>
      </c>
      <c r="N199" s="46" t="s">
        <v>10</v>
      </c>
      <c r="O199" s="45" t="s">
        <v>45</v>
      </c>
      <c r="P199" s="3" t="str">
        <f>Capacitors[[#This Row],[Footprint]]</f>
        <v>CAP-0603</v>
      </c>
    </row>
    <row r="200" spans="1:16" x14ac:dyDescent="0.25">
      <c r="A200" s="95">
        <f t="shared" si="6"/>
        <v>199</v>
      </c>
      <c r="B200" s="50" t="s">
        <v>806</v>
      </c>
      <c r="C200" s="174" t="str">
        <f t="shared" si="7"/>
        <v>CAP</v>
      </c>
      <c r="D20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0603 AECQ</v>
      </c>
      <c r="E200" s="45" t="s">
        <v>59</v>
      </c>
      <c r="F200" s="67" t="s">
        <v>51</v>
      </c>
      <c r="G200" s="64" t="s">
        <v>55</v>
      </c>
      <c r="H200" s="49" t="s">
        <v>54</v>
      </c>
      <c r="I200" s="49" t="s">
        <v>882</v>
      </c>
      <c r="J200" s="12" t="s">
        <v>46</v>
      </c>
      <c r="K200" s="45" t="s">
        <v>971</v>
      </c>
      <c r="L200" s="45" t="s">
        <v>53</v>
      </c>
      <c r="M200" s="5" t="s">
        <v>11</v>
      </c>
      <c r="N200" s="46" t="s">
        <v>10</v>
      </c>
      <c r="O200" s="45" t="s">
        <v>45</v>
      </c>
      <c r="P200" s="3" t="str">
        <f>Capacitors[[#This Row],[Footprint]]</f>
        <v>CAP-0603</v>
      </c>
    </row>
    <row r="201" spans="1:16" x14ac:dyDescent="0.25">
      <c r="A201" s="95">
        <f t="shared" si="6"/>
        <v>200</v>
      </c>
      <c r="B201" s="50" t="s">
        <v>807</v>
      </c>
      <c r="C201" s="174" t="str">
        <f t="shared" si="7"/>
        <v>CAP</v>
      </c>
      <c r="D20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X8L NFM 0603 AECQ</v>
      </c>
      <c r="E201" s="45" t="s">
        <v>59</v>
      </c>
      <c r="F201" s="67" t="s">
        <v>51</v>
      </c>
      <c r="G201" s="64" t="s">
        <v>55</v>
      </c>
      <c r="H201" s="49" t="s">
        <v>1258</v>
      </c>
      <c r="I201" s="49" t="s">
        <v>882</v>
      </c>
      <c r="J201" s="12" t="s">
        <v>46</v>
      </c>
      <c r="K201" s="45" t="s">
        <v>972</v>
      </c>
      <c r="L201" s="45" t="s">
        <v>37</v>
      </c>
      <c r="M201" s="5" t="s">
        <v>11</v>
      </c>
      <c r="N201" s="46" t="s">
        <v>10</v>
      </c>
      <c r="O201" s="45" t="s">
        <v>45</v>
      </c>
      <c r="P201" s="3" t="str">
        <f>Capacitors[[#This Row],[Footprint]]</f>
        <v>CAP-0603</v>
      </c>
    </row>
    <row r="202" spans="1:16" x14ac:dyDescent="0.25">
      <c r="A202" s="95">
        <f t="shared" si="6"/>
        <v>201</v>
      </c>
      <c r="B202" s="50" t="s">
        <v>808</v>
      </c>
      <c r="C202" s="174" t="str">
        <f t="shared" si="7"/>
        <v>CAP</v>
      </c>
      <c r="D20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202" s="45" t="s">
        <v>58</v>
      </c>
      <c r="F202" s="67" t="s">
        <v>51</v>
      </c>
      <c r="G202" s="64" t="s">
        <v>55</v>
      </c>
      <c r="H202" s="49" t="s">
        <v>54</v>
      </c>
      <c r="I202" s="49" t="s">
        <v>882</v>
      </c>
      <c r="J202" s="12" t="s">
        <v>46</v>
      </c>
      <c r="K202" s="80" t="s">
        <v>1368</v>
      </c>
      <c r="L202" s="45" t="s">
        <v>56</v>
      </c>
      <c r="M202" s="5" t="s">
        <v>11</v>
      </c>
      <c r="N202" s="46" t="s">
        <v>10</v>
      </c>
      <c r="O202" s="45" t="s">
        <v>45</v>
      </c>
      <c r="P202" s="3" t="str">
        <f>Capacitors[[#This Row],[Footprint]]</f>
        <v>CAP-0603</v>
      </c>
    </row>
    <row r="203" spans="1:16" x14ac:dyDescent="0.25">
      <c r="A203" s="95">
        <f t="shared" si="6"/>
        <v>202</v>
      </c>
      <c r="B203" s="50" t="s">
        <v>809</v>
      </c>
      <c r="C203" s="174" t="str">
        <f t="shared" si="7"/>
        <v>CAP</v>
      </c>
      <c r="D20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NFM 0603 AECQ</v>
      </c>
      <c r="E203" s="45" t="s">
        <v>881</v>
      </c>
      <c r="F203" s="67" t="s">
        <v>51</v>
      </c>
      <c r="G203" s="64" t="s">
        <v>55</v>
      </c>
      <c r="H203" s="49" t="s">
        <v>54</v>
      </c>
      <c r="I203" s="49" t="s">
        <v>882</v>
      </c>
      <c r="J203" s="12" t="s">
        <v>46</v>
      </c>
      <c r="K203" s="169" t="s">
        <v>973</v>
      </c>
      <c r="L203" s="45" t="s">
        <v>53</v>
      </c>
      <c r="M203" s="5" t="s">
        <v>11</v>
      </c>
      <c r="N203" s="46" t="s">
        <v>10</v>
      </c>
      <c r="O203" s="45" t="s">
        <v>45</v>
      </c>
      <c r="P203" s="3" t="str">
        <f>Capacitors[[#This Row],[Footprint]]</f>
        <v>CAP-0603</v>
      </c>
    </row>
    <row r="204" spans="1:16" x14ac:dyDescent="0.25">
      <c r="A204" s="95">
        <f t="shared" si="6"/>
        <v>203</v>
      </c>
      <c r="B204" s="50" t="s">
        <v>810</v>
      </c>
      <c r="C204" s="174" t="str">
        <f t="shared" si="7"/>
        <v>CAP</v>
      </c>
      <c r="D20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2.2nF 50V 10% X7R NFM 0805 AECQ</v>
      </c>
      <c r="E204" s="45" t="s">
        <v>893</v>
      </c>
      <c r="F204" s="67" t="s">
        <v>51</v>
      </c>
      <c r="G204" s="64" t="s">
        <v>55</v>
      </c>
      <c r="H204" s="49" t="s">
        <v>54</v>
      </c>
      <c r="I204" s="49" t="s">
        <v>882</v>
      </c>
      <c r="J204" s="12" t="s">
        <v>49</v>
      </c>
      <c r="K204" s="45" t="s">
        <v>974</v>
      </c>
      <c r="L204" s="45" t="s">
        <v>913</v>
      </c>
      <c r="M204" s="5" t="s">
        <v>11</v>
      </c>
      <c r="N204" s="46" t="s">
        <v>10</v>
      </c>
      <c r="O204" s="45" t="s">
        <v>45</v>
      </c>
      <c r="P204" s="3" t="str">
        <f>Capacitors[[#This Row],[Footprint]]</f>
        <v>CAP-0805</v>
      </c>
    </row>
    <row r="205" spans="1:16" x14ac:dyDescent="0.25">
      <c r="A205" s="95">
        <f t="shared" si="6"/>
        <v>204</v>
      </c>
      <c r="B205" s="50" t="s">
        <v>811</v>
      </c>
      <c r="C205" s="174" t="str">
        <f t="shared" si="7"/>
        <v>CAP</v>
      </c>
      <c r="D20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1206 AECQ</v>
      </c>
      <c r="E205" s="45" t="s">
        <v>58</v>
      </c>
      <c r="F205" s="67" t="s">
        <v>51</v>
      </c>
      <c r="G205" s="64" t="s">
        <v>55</v>
      </c>
      <c r="H205" s="49" t="s">
        <v>54</v>
      </c>
      <c r="I205" s="49" t="s">
        <v>882</v>
      </c>
      <c r="J205" s="12" t="s">
        <v>50</v>
      </c>
      <c r="K205" s="45" t="s">
        <v>975</v>
      </c>
      <c r="L205" s="45" t="s">
        <v>913</v>
      </c>
      <c r="M205" s="5" t="s">
        <v>11</v>
      </c>
      <c r="N205" s="46" t="s">
        <v>10</v>
      </c>
      <c r="O205" s="45" t="s">
        <v>45</v>
      </c>
      <c r="P205" s="3" t="str">
        <f>Capacitors[[#This Row],[Footprint]]</f>
        <v>CAP-1206</v>
      </c>
    </row>
    <row r="206" spans="1:16" x14ac:dyDescent="0.25">
      <c r="A206" s="95">
        <f t="shared" si="6"/>
        <v>205</v>
      </c>
      <c r="B206" s="14" t="s">
        <v>812</v>
      </c>
      <c r="C206" s="174" t="str">
        <f t="shared" si="7"/>
        <v>CAP</v>
      </c>
      <c r="D20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OM 0603 AECQ</v>
      </c>
      <c r="E206" s="45" t="s">
        <v>61</v>
      </c>
      <c r="F206" s="67" t="s">
        <v>51</v>
      </c>
      <c r="G206" s="64" t="s">
        <v>55</v>
      </c>
      <c r="H206" s="49" t="s">
        <v>54</v>
      </c>
      <c r="I206" s="66" t="s">
        <v>883</v>
      </c>
      <c r="J206" s="12" t="s">
        <v>46</v>
      </c>
      <c r="K206" s="45" t="s">
        <v>1345</v>
      </c>
      <c r="L206" s="45" t="s">
        <v>32</v>
      </c>
      <c r="M206" s="5" t="s">
        <v>11</v>
      </c>
      <c r="N206" s="46" t="s">
        <v>10</v>
      </c>
      <c r="O206" s="45" t="s">
        <v>45</v>
      </c>
      <c r="P206" s="3" t="str">
        <f>Capacitors[[#This Row],[Footprint]]</f>
        <v>CAP-0603</v>
      </c>
    </row>
    <row r="207" spans="1:16" x14ac:dyDescent="0.25">
      <c r="A207" s="95">
        <f t="shared" si="6"/>
        <v>206</v>
      </c>
      <c r="B207" s="14" t="s">
        <v>812</v>
      </c>
      <c r="C207" s="174" t="str">
        <f t="shared" si="7"/>
        <v>CAP</v>
      </c>
      <c r="D20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0603 AECQ</v>
      </c>
      <c r="E207" s="45" t="s">
        <v>61</v>
      </c>
      <c r="F207" s="67" t="s">
        <v>51</v>
      </c>
      <c r="G207" s="64" t="s">
        <v>55</v>
      </c>
      <c r="H207" s="49" t="s">
        <v>54</v>
      </c>
      <c r="I207" s="66" t="s">
        <v>882</v>
      </c>
      <c r="J207" s="12" t="s">
        <v>46</v>
      </c>
      <c r="K207" s="45" t="s">
        <v>949</v>
      </c>
      <c r="L207" s="45" t="s">
        <v>913</v>
      </c>
      <c r="M207" s="5" t="s">
        <v>11</v>
      </c>
      <c r="N207" s="46" t="s">
        <v>10</v>
      </c>
      <c r="O207" s="45" t="s">
        <v>45</v>
      </c>
      <c r="P207" s="3" t="str">
        <f>Capacitors[[#This Row],[Footprint]]</f>
        <v>CAP-0603</v>
      </c>
    </row>
    <row r="208" spans="1:16" x14ac:dyDescent="0.25">
      <c r="A208" s="95">
        <f t="shared" si="6"/>
        <v>207</v>
      </c>
      <c r="B208" s="119" t="s">
        <v>813</v>
      </c>
      <c r="C208" s="174" t="str">
        <f t="shared" si="7"/>
        <v>CAP</v>
      </c>
      <c r="D20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2.2nF 50V 10% X7R NFM 0805 AECQ</v>
      </c>
      <c r="E208" s="71" t="s">
        <v>893</v>
      </c>
      <c r="F208" s="67" t="s">
        <v>51</v>
      </c>
      <c r="G208" s="64" t="s">
        <v>55</v>
      </c>
      <c r="H208" s="49" t="s">
        <v>54</v>
      </c>
      <c r="I208" s="49" t="s">
        <v>882</v>
      </c>
      <c r="J208" s="12" t="s">
        <v>49</v>
      </c>
      <c r="K208" s="45" t="s">
        <v>974</v>
      </c>
      <c r="L208" s="45" t="s">
        <v>913</v>
      </c>
      <c r="M208" s="5" t="s">
        <v>11</v>
      </c>
      <c r="N208" s="46" t="s">
        <v>10</v>
      </c>
      <c r="O208" s="45" t="s">
        <v>45</v>
      </c>
      <c r="P208" s="3" t="str">
        <f>Capacitors[[#This Row],[Footprint]]</f>
        <v>CAP-0805</v>
      </c>
    </row>
    <row r="209" spans="1:16" x14ac:dyDescent="0.25">
      <c r="A209" s="95">
        <f t="shared" si="6"/>
        <v>208</v>
      </c>
      <c r="B209" s="50" t="s">
        <v>814</v>
      </c>
      <c r="C209" s="174" t="str">
        <f t="shared" si="7"/>
        <v>CAP</v>
      </c>
      <c r="D20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OM 1206 AECQ</v>
      </c>
      <c r="E209" s="45" t="s">
        <v>885</v>
      </c>
      <c r="F209" s="67" t="s">
        <v>51</v>
      </c>
      <c r="G209" s="64" t="s">
        <v>55</v>
      </c>
      <c r="H209" s="49" t="s">
        <v>54</v>
      </c>
      <c r="I209" s="49" t="s">
        <v>883</v>
      </c>
      <c r="J209" s="12" t="s">
        <v>50</v>
      </c>
      <c r="K209" s="45" t="s">
        <v>976</v>
      </c>
      <c r="L209" s="45" t="s">
        <v>913</v>
      </c>
      <c r="M209" s="5" t="s">
        <v>11</v>
      </c>
      <c r="N209" s="46" t="s">
        <v>10</v>
      </c>
      <c r="O209" s="45" t="s">
        <v>45</v>
      </c>
      <c r="P209" s="3" t="str">
        <f>Capacitors[[#This Row],[Footprint]]</f>
        <v>CAP-1206</v>
      </c>
    </row>
    <row r="210" spans="1:16" x14ac:dyDescent="0.25">
      <c r="A210" s="95">
        <f t="shared" si="6"/>
        <v>209</v>
      </c>
      <c r="B210" s="50" t="s">
        <v>815</v>
      </c>
      <c r="C210" s="174" t="str">
        <f t="shared" si="7"/>
        <v>CAP</v>
      </c>
      <c r="D21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100V 20% X7S NFM 1206 AECQ</v>
      </c>
      <c r="E210" s="45" t="s">
        <v>898</v>
      </c>
      <c r="F210" s="45" t="s">
        <v>57</v>
      </c>
      <c r="G210" s="64" t="s">
        <v>125</v>
      </c>
      <c r="H210" s="49" t="s">
        <v>886</v>
      </c>
      <c r="I210" s="49" t="s">
        <v>882</v>
      </c>
      <c r="J210" s="12" t="s">
        <v>50</v>
      </c>
      <c r="K210" s="45" t="s">
        <v>977</v>
      </c>
      <c r="L210" s="45" t="s">
        <v>53</v>
      </c>
      <c r="M210" s="5" t="s">
        <v>11</v>
      </c>
      <c r="N210" s="46" t="s">
        <v>10</v>
      </c>
      <c r="O210" s="45" t="s">
        <v>45</v>
      </c>
      <c r="P210" s="3" t="str">
        <f>Capacitors[[#This Row],[Footprint]]</f>
        <v>CAP-1206</v>
      </c>
    </row>
    <row r="211" spans="1:16" x14ac:dyDescent="0.25">
      <c r="A211" s="95">
        <f t="shared" si="6"/>
        <v>210</v>
      </c>
      <c r="B211" s="50" t="s">
        <v>816</v>
      </c>
      <c r="C211" s="174" t="str">
        <f t="shared" si="7"/>
        <v>CAP</v>
      </c>
      <c r="D21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211" s="45" t="s">
        <v>58</v>
      </c>
      <c r="F211" s="45" t="s">
        <v>51</v>
      </c>
      <c r="G211" s="64" t="s">
        <v>55</v>
      </c>
      <c r="H211" s="49" t="s">
        <v>54</v>
      </c>
      <c r="I211" s="49" t="s">
        <v>882</v>
      </c>
      <c r="J211" s="12" t="s">
        <v>46</v>
      </c>
      <c r="K211" s="45" t="s">
        <v>920</v>
      </c>
      <c r="L211" s="45" t="s">
        <v>36</v>
      </c>
      <c r="M211" s="5" t="s">
        <v>11</v>
      </c>
      <c r="N211" s="46" t="s">
        <v>10</v>
      </c>
      <c r="O211" s="45" t="s">
        <v>45</v>
      </c>
      <c r="P211" s="3" t="str">
        <f>Capacitors[[#This Row],[Footprint]]</f>
        <v>CAP-0603</v>
      </c>
    </row>
    <row r="212" spans="1:16" x14ac:dyDescent="0.25">
      <c r="A212" s="95">
        <f t="shared" si="6"/>
        <v>211</v>
      </c>
      <c r="B212" s="62" t="s">
        <v>817</v>
      </c>
      <c r="C212" s="174" t="str">
        <f t="shared" si="7"/>
        <v>CAP</v>
      </c>
      <c r="D21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212" s="72" t="s">
        <v>885</v>
      </c>
      <c r="F212" s="72" t="s">
        <v>51</v>
      </c>
      <c r="G212" s="73" t="s">
        <v>55</v>
      </c>
      <c r="H212" s="74" t="s">
        <v>54</v>
      </c>
      <c r="I212" s="74" t="s">
        <v>882</v>
      </c>
      <c r="J212" s="89" t="s">
        <v>49</v>
      </c>
      <c r="K212" s="72" t="s">
        <v>1289</v>
      </c>
      <c r="L212" s="72" t="s">
        <v>56</v>
      </c>
      <c r="M212" s="82" t="s">
        <v>11</v>
      </c>
      <c r="N212" s="83" t="s">
        <v>10</v>
      </c>
      <c r="O212" s="72" t="s">
        <v>45</v>
      </c>
      <c r="P212" s="3" t="str">
        <f>Capacitors[[#This Row],[Footprint]]</f>
        <v>CAP-0805</v>
      </c>
    </row>
    <row r="213" spans="1:16" x14ac:dyDescent="0.25">
      <c r="A213" s="95">
        <f t="shared" si="6"/>
        <v>212</v>
      </c>
      <c r="B213" s="62" t="s">
        <v>817</v>
      </c>
      <c r="C213" s="174" t="str">
        <f t="shared" si="7"/>
        <v>CAP</v>
      </c>
      <c r="D21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0805 AECQ</v>
      </c>
      <c r="E213" s="72" t="s">
        <v>885</v>
      </c>
      <c r="F213" s="72" t="s">
        <v>51</v>
      </c>
      <c r="G213" s="73" t="s">
        <v>55</v>
      </c>
      <c r="H213" s="74" t="s">
        <v>54</v>
      </c>
      <c r="I213" s="74" t="s">
        <v>882</v>
      </c>
      <c r="J213" s="89" t="s">
        <v>49</v>
      </c>
      <c r="K213" s="72" t="s">
        <v>1286</v>
      </c>
      <c r="L213" s="72" t="s">
        <v>32</v>
      </c>
      <c r="M213" s="82" t="s">
        <v>11</v>
      </c>
      <c r="N213" s="83" t="s">
        <v>10</v>
      </c>
      <c r="O213" s="72" t="s">
        <v>45</v>
      </c>
      <c r="P213" s="3" t="str">
        <f>Capacitors[[#This Row],[Footprint]]</f>
        <v>CAP-0805</v>
      </c>
    </row>
    <row r="214" spans="1:16" x14ac:dyDescent="0.25">
      <c r="A214" s="95">
        <f t="shared" si="6"/>
        <v>213</v>
      </c>
      <c r="B214" s="61" t="s">
        <v>818</v>
      </c>
      <c r="C214" s="174" t="str">
        <f t="shared" si="7"/>
        <v>CAP</v>
      </c>
      <c r="D21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0603 AECQ</v>
      </c>
      <c r="E214" s="45" t="s">
        <v>881</v>
      </c>
      <c r="F214" s="45" t="s">
        <v>51</v>
      </c>
      <c r="G214" s="64" t="s">
        <v>55</v>
      </c>
      <c r="H214" s="49" t="s">
        <v>54</v>
      </c>
      <c r="I214" s="69" t="s">
        <v>883</v>
      </c>
      <c r="J214" s="12" t="s">
        <v>46</v>
      </c>
      <c r="K214" s="45" t="s">
        <v>1369</v>
      </c>
      <c r="L214" s="45" t="s">
        <v>32</v>
      </c>
      <c r="M214" s="5" t="s">
        <v>11</v>
      </c>
      <c r="N214" s="46" t="s">
        <v>10</v>
      </c>
      <c r="O214" s="45" t="s">
        <v>45</v>
      </c>
      <c r="P214" s="3" t="str">
        <f>Capacitors[[#This Row],[Footprint]]</f>
        <v>CAP-0603</v>
      </c>
    </row>
    <row r="215" spans="1:16" x14ac:dyDescent="0.25">
      <c r="A215" s="95">
        <f t="shared" si="6"/>
        <v>214</v>
      </c>
      <c r="B215" s="61" t="s">
        <v>818</v>
      </c>
      <c r="C215" s="174" t="str">
        <f t="shared" si="7"/>
        <v>CAP</v>
      </c>
      <c r="D21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0603 AECQ</v>
      </c>
      <c r="E215" s="45" t="s">
        <v>881</v>
      </c>
      <c r="F215" s="45" t="s">
        <v>51</v>
      </c>
      <c r="G215" s="64" t="s">
        <v>55</v>
      </c>
      <c r="H215" s="49" t="s">
        <v>54</v>
      </c>
      <c r="I215" s="69" t="s">
        <v>883</v>
      </c>
      <c r="J215" s="12" t="s">
        <v>46</v>
      </c>
      <c r="K215" s="45" t="s">
        <v>911</v>
      </c>
      <c r="L215" s="45" t="s">
        <v>36</v>
      </c>
      <c r="M215" s="5" t="s">
        <v>11</v>
      </c>
      <c r="N215" s="46" t="s">
        <v>10</v>
      </c>
      <c r="O215" s="45" t="s">
        <v>45</v>
      </c>
      <c r="P215" s="3" t="str">
        <f>Capacitors[[#This Row],[Footprint]]</f>
        <v>CAP-0603</v>
      </c>
    </row>
    <row r="216" spans="1:16" x14ac:dyDescent="0.25">
      <c r="A216" s="95">
        <f t="shared" si="6"/>
        <v>215</v>
      </c>
      <c r="B216" s="50" t="s">
        <v>819</v>
      </c>
      <c r="C216" s="174" t="str">
        <f t="shared" si="7"/>
        <v>CAP</v>
      </c>
      <c r="D21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NFM 0805 AECQ</v>
      </c>
      <c r="E216" s="45" t="s">
        <v>885</v>
      </c>
      <c r="F216" s="45" t="s">
        <v>57</v>
      </c>
      <c r="G216" s="64" t="s">
        <v>55</v>
      </c>
      <c r="H216" s="49" t="s">
        <v>886</v>
      </c>
      <c r="I216" s="49" t="s">
        <v>882</v>
      </c>
      <c r="J216" s="12" t="s">
        <v>49</v>
      </c>
      <c r="K216" s="45" t="s">
        <v>978</v>
      </c>
      <c r="L216" s="45" t="s">
        <v>56</v>
      </c>
      <c r="M216" s="5" t="s">
        <v>11</v>
      </c>
      <c r="N216" s="46" t="s">
        <v>10</v>
      </c>
      <c r="O216" s="45" t="s">
        <v>45</v>
      </c>
      <c r="P216" s="3" t="str">
        <f>Capacitors[[#This Row],[Footprint]]</f>
        <v>CAP-0805</v>
      </c>
    </row>
    <row r="217" spans="1:16" x14ac:dyDescent="0.25">
      <c r="A217" s="95">
        <f t="shared" si="6"/>
        <v>216</v>
      </c>
      <c r="B217" s="50" t="s">
        <v>820</v>
      </c>
      <c r="C217" s="174" t="str">
        <f t="shared" si="7"/>
        <v>CAP</v>
      </c>
      <c r="D21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OM 0603 AECQ</v>
      </c>
      <c r="E217" s="45" t="s">
        <v>58</v>
      </c>
      <c r="F217" s="45" t="s">
        <v>51</v>
      </c>
      <c r="G217" s="170" t="s">
        <v>55</v>
      </c>
      <c r="H217" s="49" t="s">
        <v>54</v>
      </c>
      <c r="I217" s="49" t="s">
        <v>883</v>
      </c>
      <c r="J217" s="12" t="s">
        <v>46</v>
      </c>
      <c r="K217" s="45" t="s">
        <v>1302</v>
      </c>
      <c r="L217" s="45" t="s">
        <v>32</v>
      </c>
      <c r="M217" s="5" t="s">
        <v>11</v>
      </c>
      <c r="N217" s="46" t="s">
        <v>10</v>
      </c>
      <c r="O217" s="45" t="s">
        <v>45</v>
      </c>
      <c r="P217" s="3" t="str">
        <f>Capacitors[[#This Row],[Footprint]]</f>
        <v>CAP-0603</v>
      </c>
    </row>
    <row r="218" spans="1:16" x14ac:dyDescent="0.25">
      <c r="A218" s="95">
        <f t="shared" si="6"/>
        <v>217</v>
      </c>
      <c r="B218" s="50" t="s">
        <v>820</v>
      </c>
      <c r="C218" s="174" t="str">
        <f t="shared" si="7"/>
        <v>CAP</v>
      </c>
      <c r="D21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OM 0603 AECQ</v>
      </c>
      <c r="E218" s="45" t="s">
        <v>58</v>
      </c>
      <c r="F218" s="45" t="s">
        <v>51</v>
      </c>
      <c r="G218" s="170" t="s">
        <v>55</v>
      </c>
      <c r="H218" s="49" t="s">
        <v>54</v>
      </c>
      <c r="I218" s="49" t="s">
        <v>883</v>
      </c>
      <c r="J218" s="12" t="s">
        <v>46</v>
      </c>
      <c r="K218" s="45" t="s">
        <v>1370</v>
      </c>
      <c r="L218" s="45" t="s">
        <v>32</v>
      </c>
      <c r="M218" s="5" t="s">
        <v>11</v>
      </c>
      <c r="N218" s="46" t="s">
        <v>10</v>
      </c>
      <c r="O218" s="45" t="s">
        <v>45</v>
      </c>
      <c r="P218" s="3" t="str">
        <f>Capacitors[[#This Row],[Footprint]]</f>
        <v>CAP-0603</v>
      </c>
    </row>
    <row r="219" spans="1:16" x14ac:dyDescent="0.25">
      <c r="A219" s="95">
        <f t="shared" si="6"/>
        <v>218</v>
      </c>
      <c r="B219" s="14" t="s">
        <v>821</v>
      </c>
      <c r="C219" s="174" t="str">
        <f t="shared" si="7"/>
        <v>CAP</v>
      </c>
      <c r="D21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OM 0603 AECQ</v>
      </c>
      <c r="E219" s="45" t="s">
        <v>61</v>
      </c>
      <c r="F219" s="45" t="s">
        <v>57</v>
      </c>
      <c r="G219" s="170" t="s">
        <v>55</v>
      </c>
      <c r="H219" s="49" t="s">
        <v>54</v>
      </c>
      <c r="I219" s="66" t="s">
        <v>883</v>
      </c>
      <c r="J219" s="12" t="s">
        <v>46</v>
      </c>
      <c r="K219" s="45" t="s">
        <v>1324</v>
      </c>
      <c r="L219" s="45" t="s">
        <v>32</v>
      </c>
      <c r="M219" s="5" t="s">
        <v>11</v>
      </c>
      <c r="N219" s="46" t="s">
        <v>10</v>
      </c>
      <c r="O219" s="45" t="s">
        <v>45</v>
      </c>
      <c r="P219" s="3" t="str">
        <f>Capacitors[[#This Row],[Footprint]]</f>
        <v>CAP-0603</v>
      </c>
    </row>
    <row r="220" spans="1:16" x14ac:dyDescent="0.25">
      <c r="A220" s="95">
        <f t="shared" si="6"/>
        <v>219</v>
      </c>
      <c r="B220" s="14" t="s">
        <v>821</v>
      </c>
      <c r="C220" s="174" t="str">
        <f t="shared" si="7"/>
        <v>CAP</v>
      </c>
      <c r="D22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NFM 0603 AECQ</v>
      </c>
      <c r="E220" s="45" t="s">
        <v>61</v>
      </c>
      <c r="F220" s="45" t="s">
        <v>57</v>
      </c>
      <c r="G220" s="170" t="s">
        <v>55</v>
      </c>
      <c r="H220" s="49" t="s">
        <v>54</v>
      </c>
      <c r="I220" s="66" t="s">
        <v>882</v>
      </c>
      <c r="J220" s="12" t="s">
        <v>46</v>
      </c>
      <c r="K220" s="45" t="s">
        <v>979</v>
      </c>
      <c r="L220" s="45" t="s">
        <v>53</v>
      </c>
      <c r="M220" s="5" t="s">
        <v>11</v>
      </c>
      <c r="N220" s="46" t="s">
        <v>10</v>
      </c>
      <c r="O220" s="45" t="s">
        <v>45</v>
      </c>
      <c r="P220" s="3" t="str">
        <f>Capacitors[[#This Row],[Footprint]]</f>
        <v>CAP-0603</v>
      </c>
    </row>
    <row r="221" spans="1:16" x14ac:dyDescent="0.25">
      <c r="A221" s="95">
        <f t="shared" si="6"/>
        <v>220</v>
      </c>
      <c r="B221" s="119" t="s">
        <v>822</v>
      </c>
      <c r="C221" s="174" t="str">
        <f t="shared" si="7"/>
        <v>CAP</v>
      </c>
      <c r="D22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OM 0603 AECQ</v>
      </c>
      <c r="E221" s="45" t="s">
        <v>881</v>
      </c>
      <c r="F221" s="45" t="s">
        <v>57</v>
      </c>
      <c r="G221" s="171" t="s">
        <v>55</v>
      </c>
      <c r="H221" s="49" t="s">
        <v>54</v>
      </c>
      <c r="I221" s="77" t="s">
        <v>883</v>
      </c>
      <c r="J221" s="12" t="s">
        <v>46</v>
      </c>
      <c r="K221" s="45" t="s">
        <v>1346</v>
      </c>
      <c r="L221" s="45" t="s">
        <v>32</v>
      </c>
      <c r="M221" s="5" t="s">
        <v>11</v>
      </c>
      <c r="N221" s="46" t="s">
        <v>10</v>
      </c>
      <c r="O221" s="45" t="s">
        <v>45</v>
      </c>
      <c r="P221" s="3" t="str">
        <f>Capacitors[[#This Row],[Footprint]]</f>
        <v>CAP-0603</v>
      </c>
    </row>
    <row r="222" spans="1:16" x14ac:dyDescent="0.25">
      <c r="A222" s="95">
        <f t="shared" si="6"/>
        <v>221</v>
      </c>
      <c r="B222" s="119" t="s">
        <v>822</v>
      </c>
      <c r="C222" s="174" t="str">
        <f t="shared" si="7"/>
        <v>CAP</v>
      </c>
      <c r="D22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20% X7R NFM 0603 AECQ</v>
      </c>
      <c r="E222" s="45" t="s">
        <v>881</v>
      </c>
      <c r="F222" s="45" t="s">
        <v>57</v>
      </c>
      <c r="G222" s="171" t="s">
        <v>125</v>
      </c>
      <c r="H222" s="49" t="s">
        <v>54</v>
      </c>
      <c r="I222" s="77" t="s">
        <v>882</v>
      </c>
      <c r="J222" s="12" t="s">
        <v>46</v>
      </c>
      <c r="K222" s="45" t="s">
        <v>980</v>
      </c>
      <c r="L222" s="45" t="s">
        <v>53</v>
      </c>
      <c r="M222" s="5" t="s">
        <v>11</v>
      </c>
      <c r="N222" s="46" t="s">
        <v>10</v>
      </c>
      <c r="O222" s="45" t="s">
        <v>45</v>
      </c>
      <c r="P222" s="3" t="str">
        <f>Capacitors[[#This Row],[Footprint]]</f>
        <v>CAP-0603</v>
      </c>
    </row>
    <row r="223" spans="1:16" x14ac:dyDescent="0.25">
      <c r="A223" s="95">
        <f t="shared" si="6"/>
        <v>222</v>
      </c>
      <c r="B223" s="50" t="s">
        <v>823</v>
      </c>
      <c r="C223" s="174" t="str">
        <f t="shared" si="7"/>
        <v>CAP</v>
      </c>
      <c r="D22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X7R NFM 0805 AECQ</v>
      </c>
      <c r="E223" s="45" t="s">
        <v>885</v>
      </c>
      <c r="F223" s="45" t="s">
        <v>57</v>
      </c>
      <c r="G223" s="64" t="s">
        <v>55</v>
      </c>
      <c r="H223" s="49" t="s">
        <v>54</v>
      </c>
      <c r="I223" s="49" t="s">
        <v>882</v>
      </c>
      <c r="J223" s="12" t="s">
        <v>49</v>
      </c>
      <c r="K223" s="45" t="s">
        <v>981</v>
      </c>
      <c r="L223" s="45" t="s">
        <v>37</v>
      </c>
      <c r="M223" s="5" t="s">
        <v>11</v>
      </c>
      <c r="N223" s="46" t="s">
        <v>10</v>
      </c>
      <c r="O223" s="45" t="s">
        <v>45</v>
      </c>
      <c r="P223" s="3" t="str">
        <f>Capacitors[[#This Row],[Footprint]]</f>
        <v>CAP-0805</v>
      </c>
    </row>
    <row r="224" spans="1:16" x14ac:dyDescent="0.25">
      <c r="A224" s="95">
        <f t="shared" si="6"/>
        <v>223</v>
      </c>
      <c r="B224" s="50" t="s">
        <v>823</v>
      </c>
      <c r="C224" s="174" t="str">
        <f t="shared" si="7"/>
        <v>CAP</v>
      </c>
      <c r="D22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NFM 0805 AECQ</v>
      </c>
      <c r="E224" s="45" t="s">
        <v>885</v>
      </c>
      <c r="F224" s="45" t="s">
        <v>57</v>
      </c>
      <c r="G224" s="64" t="s">
        <v>55</v>
      </c>
      <c r="H224" s="49" t="s">
        <v>886</v>
      </c>
      <c r="I224" s="49" t="s">
        <v>882</v>
      </c>
      <c r="J224" s="12" t="s">
        <v>49</v>
      </c>
      <c r="K224" s="45" t="s">
        <v>978</v>
      </c>
      <c r="L224" s="45" t="s">
        <v>56</v>
      </c>
      <c r="M224" s="5" t="s">
        <v>11</v>
      </c>
      <c r="N224" s="46" t="s">
        <v>10</v>
      </c>
      <c r="O224" s="45" t="s">
        <v>45</v>
      </c>
      <c r="P224" s="3" t="str">
        <f>Capacitors[[#This Row],[Footprint]]</f>
        <v>CAP-0805</v>
      </c>
    </row>
    <row r="225" spans="1:16" x14ac:dyDescent="0.25">
      <c r="A225" s="95">
        <f t="shared" si="6"/>
        <v>224</v>
      </c>
      <c r="B225" s="14" t="s">
        <v>824</v>
      </c>
      <c r="C225" s="174" t="str">
        <f t="shared" si="7"/>
        <v>CAP</v>
      </c>
      <c r="D22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OM 0603 AECQ</v>
      </c>
      <c r="E225" s="45" t="s">
        <v>58</v>
      </c>
      <c r="F225" s="45" t="s">
        <v>51</v>
      </c>
      <c r="G225" s="64" t="s">
        <v>55</v>
      </c>
      <c r="H225" s="49" t="s">
        <v>54</v>
      </c>
      <c r="I225" s="66" t="s">
        <v>883</v>
      </c>
      <c r="J225" s="12" t="s">
        <v>46</v>
      </c>
      <c r="K225" s="45" t="s">
        <v>1302</v>
      </c>
      <c r="L225" s="45" t="s">
        <v>32</v>
      </c>
      <c r="M225" s="5" t="s">
        <v>11</v>
      </c>
      <c r="N225" s="46" t="s">
        <v>10</v>
      </c>
      <c r="O225" s="45" t="s">
        <v>45</v>
      </c>
      <c r="P225" s="3" t="str">
        <f>Capacitors[[#This Row],[Footprint]]</f>
        <v>CAP-0603</v>
      </c>
    </row>
    <row r="226" spans="1:16" x14ac:dyDescent="0.25">
      <c r="A226" s="95">
        <f t="shared" si="6"/>
        <v>225</v>
      </c>
      <c r="B226" s="14" t="s">
        <v>824</v>
      </c>
      <c r="C226" s="174" t="str">
        <f t="shared" si="7"/>
        <v>CAP</v>
      </c>
      <c r="D22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AECQ</v>
      </c>
      <c r="E226" s="45" t="s">
        <v>58</v>
      </c>
      <c r="F226" s="45" t="s">
        <v>51</v>
      </c>
      <c r="G226" s="64" t="s">
        <v>55</v>
      </c>
      <c r="H226" s="49" t="s">
        <v>54</v>
      </c>
      <c r="I226" s="66" t="s">
        <v>882</v>
      </c>
      <c r="J226" s="12" t="s">
        <v>46</v>
      </c>
      <c r="K226" s="45" t="s">
        <v>982</v>
      </c>
      <c r="L226" s="45" t="s">
        <v>913</v>
      </c>
      <c r="M226" s="5" t="s">
        <v>11</v>
      </c>
      <c r="N226" s="46" t="s">
        <v>10</v>
      </c>
      <c r="O226" s="45" t="s">
        <v>45</v>
      </c>
      <c r="P226" s="3" t="str">
        <f>Capacitors[[#This Row],[Footprint]]</f>
        <v>CAP-0603</v>
      </c>
    </row>
    <row r="227" spans="1:16" x14ac:dyDescent="0.25">
      <c r="A227" s="95">
        <f t="shared" si="6"/>
        <v>226</v>
      </c>
      <c r="B227" s="119" t="s">
        <v>825</v>
      </c>
      <c r="C227" s="174" t="str">
        <f t="shared" si="7"/>
        <v>CAP</v>
      </c>
      <c r="D22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X7R NFM 1206 STD</v>
      </c>
      <c r="E227" s="45" t="s">
        <v>896</v>
      </c>
      <c r="F227" s="45" t="s">
        <v>51</v>
      </c>
      <c r="G227" s="64" t="s">
        <v>55</v>
      </c>
      <c r="H227" s="49" t="s">
        <v>54</v>
      </c>
      <c r="I227" s="49" t="s">
        <v>882</v>
      </c>
      <c r="J227" s="12" t="s">
        <v>50</v>
      </c>
      <c r="K227" s="45" t="s">
        <v>1371</v>
      </c>
      <c r="L227" s="45" t="s">
        <v>32</v>
      </c>
      <c r="M227" s="172" t="s">
        <v>1561</v>
      </c>
      <c r="N227" s="46" t="s">
        <v>10</v>
      </c>
      <c r="O227" s="45" t="s">
        <v>45</v>
      </c>
      <c r="P227" s="3" t="str">
        <f>Capacitors[[#This Row],[Footprint]]</f>
        <v>CAP-1206</v>
      </c>
    </row>
    <row r="228" spans="1:16" x14ac:dyDescent="0.25">
      <c r="A228" s="95">
        <f t="shared" si="6"/>
        <v>227</v>
      </c>
      <c r="B228" s="119" t="s">
        <v>825</v>
      </c>
      <c r="C228" s="174" t="str">
        <f t="shared" si="7"/>
        <v>CAP</v>
      </c>
      <c r="D22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X7R NFM 1206 AECQ</v>
      </c>
      <c r="E228" s="45" t="s">
        <v>896</v>
      </c>
      <c r="F228" s="45" t="s">
        <v>51</v>
      </c>
      <c r="G228" s="64" t="s">
        <v>55</v>
      </c>
      <c r="H228" s="49" t="s">
        <v>54</v>
      </c>
      <c r="I228" s="49" t="s">
        <v>882</v>
      </c>
      <c r="J228" s="12" t="s">
        <v>50</v>
      </c>
      <c r="K228" s="45" t="s">
        <v>983</v>
      </c>
      <c r="L228" s="45" t="s">
        <v>32</v>
      </c>
      <c r="M228" s="172" t="s">
        <v>11</v>
      </c>
      <c r="N228" s="46" t="s">
        <v>10</v>
      </c>
      <c r="O228" s="45" t="s">
        <v>45</v>
      </c>
      <c r="P228" s="3" t="str">
        <f>Capacitors[[#This Row],[Footprint]]</f>
        <v>CAP-1206</v>
      </c>
    </row>
    <row r="229" spans="1:16" x14ac:dyDescent="0.25">
      <c r="A229" s="95">
        <f t="shared" si="6"/>
        <v>228</v>
      </c>
      <c r="B229" s="119" t="s">
        <v>825</v>
      </c>
      <c r="C229" s="174" t="str">
        <f t="shared" si="7"/>
        <v>CAP</v>
      </c>
      <c r="D22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X7R NFM 1206 AECQ</v>
      </c>
      <c r="E229" s="45" t="s">
        <v>896</v>
      </c>
      <c r="F229" s="45" t="s">
        <v>51</v>
      </c>
      <c r="G229" s="64" t="s">
        <v>55</v>
      </c>
      <c r="H229" s="49" t="s">
        <v>54</v>
      </c>
      <c r="I229" s="49" t="s">
        <v>882</v>
      </c>
      <c r="J229" s="12" t="s">
        <v>50</v>
      </c>
      <c r="K229" s="45" t="s">
        <v>984</v>
      </c>
      <c r="L229" s="45" t="s">
        <v>37</v>
      </c>
      <c r="M229" s="172" t="s">
        <v>11</v>
      </c>
      <c r="N229" s="46" t="s">
        <v>10</v>
      </c>
      <c r="O229" s="45" t="s">
        <v>45</v>
      </c>
      <c r="P229" s="3" t="str">
        <f>Capacitors[[#This Row],[Footprint]]</f>
        <v>CAP-1206</v>
      </c>
    </row>
    <row r="230" spans="1:16" x14ac:dyDescent="0.25">
      <c r="A230" s="95">
        <f t="shared" si="6"/>
        <v>229</v>
      </c>
      <c r="B230" s="50" t="s">
        <v>826</v>
      </c>
      <c r="C230" s="174" t="str">
        <f t="shared" si="7"/>
        <v>CAP</v>
      </c>
      <c r="D23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NFM 0805 AECQ</v>
      </c>
      <c r="E230" s="45" t="s">
        <v>885</v>
      </c>
      <c r="F230" s="45" t="s">
        <v>57</v>
      </c>
      <c r="G230" s="64" t="s">
        <v>55</v>
      </c>
      <c r="H230" s="49" t="s">
        <v>886</v>
      </c>
      <c r="I230" s="49" t="s">
        <v>882</v>
      </c>
      <c r="J230" s="12" t="s">
        <v>49</v>
      </c>
      <c r="K230" s="45" t="s">
        <v>978</v>
      </c>
      <c r="L230" s="45" t="s">
        <v>56</v>
      </c>
      <c r="M230" s="5" t="s">
        <v>11</v>
      </c>
      <c r="N230" s="46" t="s">
        <v>10</v>
      </c>
      <c r="O230" s="45" t="s">
        <v>45</v>
      </c>
      <c r="P230" s="3" t="str">
        <f>Capacitors[[#This Row],[Footprint]]</f>
        <v>CAP-0805</v>
      </c>
    </row>
    <row r="231" spans="1:16" x14ac:dyDescent="0.25">
      <c r="A231" s="95">
        <f t="shared" si="6"/>
        <v>230</v>
      </c>
      <c r="B231" s="50" t="s">
        <v>827</v>
      </c>
      <c r="C231" s="174" t="str">
        <f t="shared" si="7"/>
        <v>CAP</v>
      </c>
      <c r="D23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X7R ST 0805 AECQ</v>
      </c>
      <c r="E231" s="45" t="s">
        <v>896</v>
      </c>
      <c r="F231" s="45" t="s">
        <v>51</v>
      </c>
      <c r="G231" s="64" t="s">
        <v>55</v>
      </c>
      <c r="H231" s="49" t="s">
        <v>54</v>
      </c>
      <c r="I231" s="49" t="s">
        <v>884</v>
      </c>
      <c r="J231" s="12" t="s">
        <v>49</v>
      </c>
      <c r="K231" s="45" t="s">
        <v>1372</v>
      </c>
      <c r="L231" s="45" t="s">
        <v>53</v>
      </c>
      <c r="M231" s="5" t="s">
        <v>11</v>
      </c>
      <c r="N231" s="46" t="s">
        <v>10</v>
      </c>
      <c r="O231" s="45" t="s">
        <v>45</v>
      </c>
      <c r="P231" s="3" t="str">
        <f>Capacitors[[#This Row],[Footprint]]</f>
        <v>CAP-0805</v>
      </c>
    </row>
    <row r="232" spans="1:16" x14ac:dyDescent="0.25">
      <c r="A232" s="95">
        <f t="shared" si="6"/>
        <v>231</v>
      </c>
      <c r="B232" s="14" t="s">
        <v>828</v>
      </c>
      <c r="C232" s="174" t="str">
        <f t="shared" si="7"/>
        <v>CAP</v>
      </c>
      <c r="D23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25V 10% X5R NFM 0402 STD</v>
      </c>
      <c r="E232" s="45" t="s">
        <v>885</v>
      </c>
      <c r="F232" s="45" t="s">
        <v>1259</v>
      </c>
      <c r="G232" s="64" t="s">
        <v>55</v>
      </c>
      <c r="H232" s="49" t="s">
        <v>903</v>
      </c>
      <c r="I232" s="49" t="s">
        <v>882</v>
      </c>
      <c r="J232" s="12" t="s">
        <v>48</v>
      </c>
      <c r="K232" s="45" t="s">
        <v>1373</v>
      </c>
      <c r="L232" s="45" t="s">
        <v>56</v>
      </c>
      <c r="M232" s="15" t="s">
        <v>1561</v>
      </c>
      <c r="N232" s="46" t="s">
        <v>10</v>
      </c>
      <c r="O232" s="45" t="s">
        <v>45</v>
      </c>
      <c r="P232" s="3" t="str">
        <f>Capacitors[[#This Row],[Footprint]]</f>
        <v>CAP-0402</v>
      </c>
    </row>
    <row r="233" spans="1:16" x14ac:dyDescent="0.25">
      <c r="A233" s="95">
        <f t="shared" si="6"/>
        <v>232</v>
      </c>
      <c r="B233" s="14" t="s">
        <v>828</v>
      </c>
      <c r="C233" s="174" t="str">
        <f t="shared" si="7"/>
        <v>CAP</v>
      </c>
      <c r="D23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25V 10% X5R NFM 0402 AECQ</v>
      </c>
      <c r="E233" s="45" t="s">
        <v>885</v>
      </c>
      <c r="F233" s="45" t="s">
        <v>1259</v>
      </c>
      <c r="G233" s="64" t="s">
        <v>55</v>
      </c>
      <c r="H233" s="49" t="s">
        <v>903</v>
      </c>
      <c r="I233" s="49" t="s">
        <v>882</v>
      </c>
      <c r="J233" s="12" t="s">
        <v>48</v>
      </c>
      <c r="K233" s="45" t="s">
        <v>1374</v>
      </c>
      <c r="L233" s="45" t="s">
        <v>56</v>
      </c>
      <c r="M233" s="15" t="s">
        <v>11</v>
      </c>
      <c r="N233" s="46" t="s">
        <v>10</v>
      </c>
      <c r="O233" s="45" t="s">
        <v>45</v>
      </c>
      <c r="P233" s="3" t="str">
        <f>Capacitors[[#This Row],[Footprint]]</f>
        <v>CAP-0402</v>
      </c>
    </row>
    <row r="234" spans="1:16" x14ac:dyDescent="0.25">
      <c r="A234" s="95">
        <f t="shared" si="6"/>
        <v>233</v>
      </c>
      <c r="B234" s="50" t="s">
        <v>829</v>
      </c>
      <c r="C234" s="174" t="str">
        <f t="shared" si="7"/>
        <v>CAP</v>
      </c>
      <c r="D23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0402 AECQ</v>
      </c>
      <c r="E234" s="45" t="s">
        <v>59</v>
      </c>
      <c r="F234" s="45" t="s">
        <v>51</v>
      </c>
      <c r="G234" s="64" t="s">
        <v>55</v>
      </c>
      <c r="H234" s="49" t="s">
        <v>54</v>
      </c>
      <c r="I234" s="49" t="s">
        <v>882</v>
      </c>
      <c r="J234" s="12" t="s">
        <v>48</v>
      </c>
      <c r="K234" s="45" t="s">
        <v>1375</v>
      </c>
      <c r="L234" s="45" t="s">
        <v>56</v>
      </c>
      <c r="M234" s="5" t="s">
        <v>11</v>
      </c>
      <c r="N234" s="46" t="s">
        <v>10</v>
      </c>
      <c r="O234" s="45" t="s">
        <v>45</v>
      </c>
      <c r="P234" s="3" t="str">
        <f>Capacitors[[#This Row],[Footprint]]</f>
        <v>CAP-0402</v>
      </c>
    </row>
    <row r="235" spans="1:16" x14ac:dyDescent="0.25">
      <c r="A235" s="95">
        <f t="shared" si="6"/>
        <v>234</v>
      </c>
      <c r="B235" s="50" t="s">
        <v>829</v>
      </c>
      <c r="C235" s="174" t="str">
        <f t="shared" si="7"/>
        <v>CAP</v>
      </c>
      <c r="D23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0402 AECQ</v>
      </c>
      <c r="E235" s="45" t="s">
        <v>59</v>
      </c>
      <c r="F235" s="45" t="s">
        <v>51</v>
      </c>
      <c r="G235" s="64" t="s">
        <v>55</v>
      </c>
      <c r="H235" s="49" t="s">
        <v>54</v>
      </c>
      <c r="I235" s="49" t="s">
        <v>882</v>
      </c>
      <c r="J235" s="12" t="s">
        <v>48</v>
      </c>
      <c r="K235" s="45" t="s">
        <v>985</v>
      </c>
      <c r="L235" s="45" t="s">
        <v>36</v>
      </c>
      <c r="M235" s="5" t="s">
        <v>11</v>
      </c>
      <c r="N235" s="46" t="s">
        <v>10</v>
      </c>
      <c r="O235" s="45" t="s">
        <v>45</v>
      </c>
      <c r="P235" s="3" t="str">
        <f>Capacitors[[#This Row],[Footprint]]</f>
        <v>CAP-0402</v>
      </c>
    </row>
    <row r="236" spans="1:16" x14ac:dyDescent="0.25">
      <c r="A236" s="95">
        <f t="shared" si="6"/>
        <v>235</v>
      </c>
      <c r="B236" s="50" t="s">
        <v>830</v>
      </c>
      <c r="C236" s="174" t="str">
        <f t="shared" si="7"/>
        <v>CAP</v>
      </c>
      <c r="D23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16V 10% X7R NFM 0805 AECQ</v>
      </c>
      <c r="E236" s="45" t="s">
        <v>896</v>
      </c>
      <c r="F236" s="45" t="s">
        <v>902</v>
      </c>
      <c r="G236" s="64" t="s">
        <v>55</v>
      </c>
      <c r="H236" s="49" t="s">
        <v>54</v>
      </c>
      <c r="I236" s="49" t="s">
        <v>882</v>
      </c>
      <c r="J236" s="12" t="s">
        <v>49</v>
      </c>
      <c r="K236" s="45" t="s">
        <v>1376</v>
      </c>
      <c r="L236" s="45" t="s">
        <v>56</v>
      </c>
      <c r="M236" s="5" t="s">
        <v>11</v>
      </c>
      <c r="N236" s="46" t="s">
        <v>10</v>
      </c>
      <c r="O236" s="45" t="s">
        <v>45</v>
      </c>
      <c r="P236" s="3" t="str">
        <f>Capacitors[[#This Row],[Footprint]]</f>
        <v>CAP-0805</v>
      </c>
    </row>
    <row r="237" spans="1:16" x14ac:dyDescent="0.25">
      <c r="A237" s="95">
        <f t="shared" si="6"/>
        <v>236</v>
      </c>
      <c r="B237" s="50" t="s">
        <v>830</v>
      </c>
      <c r="C237" s="174" t="str">
        <f t="shared" si="7"/>
        <v>CAP</v>
      </c>
      <c r="D23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16V 10% X7R NFM 0805 AECQ</v>
      </c>
      <c r="E237" s="45" t="s">
        <v>896</v>
      </c>
      <c r="F237" s="45" t="s">
        <v>902</v>
      </c>
      <c r="G237" s="64" t="s">
        <v>55</v>
      </c>
      <c r="H237" s="49" t="s">
        <v>54</v>
      </c>
      <c r="I237" s="49" t="s">
        <v>882</v>
      </c>
      <c r="J237" s="12" t="s">
        <v>49</v>
      </c>
      <c r="K237" s="45" t="s">
        <v>1377</v>
      </c>
      <c r="L237" s="45" t="s">
        <v>32</v>
      </c>
      <c r="M237" s="5" t="s">
        <v>11</v>
      </c>
      <c r="N237" s="46" t="s">
        <v>10</v>
      </c>
      <c r="O237" s="45" t="s">
        <v>45</v>
      </c>
      <c r="P237" s="3" t="str">
        <f>Capacitors[[#This Row],[Footprint]]</f>
        <v>CAP-0805</v>
      </c>
    </row>
    <row r="238" spans="1:16" x14ac:dyDescent="0.25">
      <c r="A238" s="95">
        <f t="shared" si="6"/>
        <v>237</v>
      </c>
      <c r="B238" s="14" t="s">
        <v>831</v>
      </c>
      <c r="C238" s="174" t="str">
        <f t="shared" si="7"/>
        <v>CAP</v>
      </c>
      <c r="D23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50V 10% X7R NFM 0603 AECQ</v>
      </c>
      <c r="E238" s="45" t="s">
        <v>59</v>
      </c>
      <c r="F238" s="45" t="s">
        <v>51</v>
      </c>
      <c r="G238" s="64" t="s">
        <v>55</v>
      </c>
      <c r="H238" s="49" t="s">
        <v>54</v>
      </c>
      <c r="I238" s="66" t="s">
        <v>882</v>
      </c>
      <c r="J238" s="12" t="s">
        <v>46</v>
      </c>
      <c r="K238" s="45" t="s">
        <v>916</v>
      </c>
      <c r="L238" s="45" t="s">
        <v>36</v>
      </c>
      <c r="M238" s="5" t="s">
        <v>11</v>
      </c>
      <c r="N238" s="46" t="s">
        <v>10</v>
      </c>
      <c r="O238" s="45" t="s">
        <v>45</v>
      </c>
      <c r="P238" s="3" t="str">
        <f>Capacitors[[#This Row],[Footprint]]</f>
        <v>CAP-0603</v>
      </c>
    </row>
    <row r="239" spans="1:16" x14ac:dyDescent="0.25">
      <c r="A239" s="95">
        <f t="shared" si="6"/>
        <v>238</v>
      </c>
      <c r="B239" s="14" t="s">
        <v>831</v>
      </c>
      <c r="C239" s="174" t="str">
        <f t="shared" si="7"/>
        <v>CAP</v>
      </c>
      <c r="D23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OM 0603 AECQ</v>
      </c>
      <c r="E239" s="45" t="s">
        <v>881</v>
      </c>
      <c r="F239" s="45" t="s">
        <v>57</v>
      </c>
      <c r="G239" s="64" t="s">
        <v>55</v>
      </c>
      <c r="H239" s="49" t="s">
        <v>54</v>
      </c>
      <c r="I239" s="66" t="s">
        <v>883</v>
      </c>
      <c r="J239" s="12" t="s">
        <v>46</v>
      </c>
      <c r="K239" s="45" t="s">
        <v>1346</v>
      </c>
      <c r="L239" s="45" t="s">
        <v>32</v>
      </c>
      <c r="M239" s="5" t="s">
        <v>11</v>
      </c>
      <c r="N239" s="46" t="s">
        <v>10</v>
      </c>
      <c r="O239" s="45" t="s">
        <v>45</v>
      </c>
      <c r="P239" s="3" t="str">
        <f>Capacitors[[#This Row],[Footprint]]</f>
        <v>CAP-0603</v>
      </c>
    </row>
    <row r="240" spans="1:16" x14ac:dyDescent="0.25">
      <c r="A240" s="95">
        <f t="shared" si="6"/>
        <v>239</v>
      </c>
      <c r="B240" s="50" t="s">
        <v>832</v>
      </c>
      <c r="C240" s="174" t="str">
        <f t="shared" si="7"/>
        <v>CAP</v>
      </c>
      <c r="D24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12pF 50V 5% C0G NFM 0603 AECQ</v>
      </c>
      <c r="E240" s="45" t="s">
        <v>1260</v>
      </c>
      <c r="F240" s="45" t="s">
        <v>51</v>
      </c>
      <c r="G240" s="64" t="s">
        <v>410</v>
      </c>
      <c r="H240" s="49" t="s">
        <v>889</v>
      </c>
      <c r="I240" s="49" t="s">
        <v>882</v>
      </c>
      <c r="J240" s="12" t="s">
        <v>46</v>
      </c>
      <c r="K240" s="45" t="s">
        <v>986</v>
      </c>
      <c r="L240" s="45" t="s">
        <v>913</v>
      </c>
      <c r="M240" s="5" t="s">
        <v>11</v>
      </c>
      <c r="N240" s="46" t="s">
        <v>10</v>
      </c>
      <c r="O240" s="45" t="s">
        <v>45</v>
      </c>
      <c r="P240" s="3" t="str">
        <f>Capacitors[[#This Row],[Footprint]]</f>
        <v>CAP-0603</v>
      </c>
    </row>
    <row r="241" spans="1:16" x14ac:dyDescent="0.25">
      <c r="A241" s="95">
        <f t="shared" si="6"/>
        <v>240</v>
      </c>
      <c r="B241" s="14" t="s">
        <v>833</v>
      </c>
      <c r="C241" s="174" t="str">
        <f t="shared" si="7"/>
        <v>CAP</v>
      </c>
      <c r="D24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10% X7S NFM 1206 AECQ</v>
      </c>
      <c r="E241" s="45" t="s">
        <v>897</v>
      </c>
      <c r="F241" s="45" t="s">
        <v>51</v>
      </c>
      <c r="G241" s="64" t="s">
        <v>55</v>
      </c>
      <c r="H241" s="66" t="s">
        <v>886</v>
      </c>
      <c r="I241" s="49" t="s">
        <v>882</v>
      </c>
      <c r="J241" s="12" t="s">
        <v>50</v>
      </c>
      <c r="K241" s="45" t="s">
        <v>1378</v>
      </c>
      <c r="L241" s="45" t="s">
        <v>32</v>
      </c>
      <c r="M241" s="15" t="s">
        <v>11</v>
      </c>
      <c r="N241" s="46" t="s">
        <v>10</v>
      </c>
      <c r="O241" s="45" t="s">
        <v>45</v>
      </c>
      <c r="P241" s="3" t="str">
        <f>Capacitors[[#This Row],[Footprint]]</f>
        <v>CAP-1206</v>
      </c>
    </row>
    <row r="242" spans="1:16" x14ac:dyDescent="0.25">
      <c r="A242" s="95">
        <f t="shared" si="6"/>
        <v>241</v>
      </c>
      <c r="B242" s="14" t="s">
        <v>833</v>
      </c>
      <c r="C242" s="174" t="str">
        <f t="shared" si="7"/>
        <v>CAP</v>
      </c>
      <c r="D24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10% X7R NFM 1206 AECQ</v>
      </c>
      <c r="E242" s="45" t="s">
        <v>897</v>
      </c>
      <c r="F242" s="45" t="s">
        <v>51</v>
      </c>
      <c r="G242" s="64" t="s">
        <v>55</v>
      </c>
      <c r="H242" s="66" t="s">
        <v>54</v>
      </c>
      <c r="I242" s="49" t="s">
        <v>882</v>
      </c>
      <c r="J242" s="12" t="s">
        <v>50</v>
      </c>
      <c r="K242" s="45" t="s">
        <v>52</v>
      </c>
      <c r="L242" s="45" t="s">
        <v>53</v>
      </c>
      <c r="M242" s="15" t="s">
        <v>11</v>
      </c>
      <c r="N242" s="46" t="s">
        <v>10</v>
      </c>
      <c r="O242" s="45" t="s">
        <v>45</v>
      </c>
      <c r="P242" s="3" t="str">
        <f>Capacitors[[#This Row],[Footprint]]</f>
        <v>CAP-1206</v>
      </c>
    </row>
    <row r="243" spans="1:16" x14ac:dyDescent="0.25">
      <c r="A243" s="95">
        <f t="shared" si="6"/>
        <v>242</v>
      </c>
      <c r="B243" s="14" t="s">
        <v>833</v>
      </c>
      <c r="C243" s="174" t="str">
        <f t="shared" si="7"/>
        <v>CAP</v>
      </c>
      <c r="D24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10% X7R NFM 1206 STD</v>
      </c>
      <c r="E243" s="45" t="s">
        <v>897</v>
      </c>
      <c r="F243" s="45" t="s">
        <v>51</v>
      </c>
      <c r="G243" s="64" t="s">
        <v>55</v>
      </c>
      <c r="H243" s="66" t="s">
        <v>54</v>
      </c>
      <c r="I243" s="49" t="s">
        <v>882</v>
      </c>
      <c r="J243" s="12" t="s">
        <v>50</v>
      </c>
      <c r="K243" s="45" t="s">
        <v>1379</v>
      </c>
      <c r="L243" s="45" t="s">
        <v>32</v>
      </c>
      <c r="M243" s="15" t="s">
        <v>1561</v>
      </c>
      <c r="N243" s="46" t="s">
        <v>10</v>
      </c>
      <c r="O243" s="45" t="s">
        <v>45</v>
      </c>
      <c r="P243" s="3" t="str">
        <f>Capacitors[[#This Row],[Footprint]]</f>
        <v>CAP-1206</v>
      </c>
    </row>
    <row r="244" spans="1:16" x14ac:dyDescent="0.25">
      <c r="A244" s="95">
        <f t="shared" si="6"/>
        <v>243</v>
      </c>
      <c r="B244" s="119" t="s">
        <v>834</v>
      </c>
      <c r="C244" s="174" t="str">
        <f t="shared" si="7"/>
        <v>CAP</v>
      </c>
      <c r="D24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220pF 50V 10% C0G NFM 0603 AECQ</v>
      </c>
      <c r="E244" s="45" t="s">
        <v>894</v>
      </c>
      <c r="F244" s="45" t="s">
        <v>51</v>
      </c>
      <c r="G244" s="64" t="s">
        <v>55</v>
      </c>
      <c r="H244" s="77" t="s">
        <v>889</v>
      </c>
      <c r="I244" s="77" t="s">
        <v>882</v>
      </c>
      <c r="J244" s="12" t="s">
        <v>46</v>
      </c>
      <c r="K244" s="45" t="s">
        <v>1380</v>
      </c>
      <c r="L244" s="45" t="s">
        <v>56</v>
      </c>
      <c r="M244" s="5" t="s">
        <v>11</v>
      </c>
      <c r="N244" s="46" t="s">
        <v>10</v>
      </c>
      <c r="O244" s="45" t="s">
        <v>45</v>
      </c>
      <c r="P244" s="3" t="str">
        <f>Capacitors[[#This Row],[Footprint]]</f>
        <v>CAP-0603</v>
      </c>
    </row>
    <row r="245" spans="1:16" x14ac:dyDescent="0.25">
      <c r="A245" s="95">
        <f t="shared" si="6"/>
        <v>244</v>
      </c>
      <c r="B245" s="119" t="s">
        <v>834</v>
      </c>
      <c r="C245" s="174" t="str">
        <f t="shared" si="7"/>
        <v>CAP</v>
      </c>
      <c r="D24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220pF 50V 10% X7R OM 0603 AECQ</v>
      </c>
      <c r="E245" s="45" t="s">
        <v>894</v>
      </c>
      <c r="F245" s="45" t="s">
        <v>51</v>
      </c>
      <c r="G245" s="64" t="s">
        <v>55</v>
      </c>
      <c r="H245" s="77" t="s">
        <v>54</v>
      </c>
      <c r="I245" s="77" t="s">
        <v>883</v>
      </c>
      <c r="J245" s="12" t="s">
        <v>46</v>
      </c>
      <c r="K245" s="45" t="s">
        <v>1381</v>
      </c>
      <c r="L245" s="45" t="s">
        <v>32</v>
      </c>
      <c r="M245" s="5" t="s">
        <v>11</v>
      </c>
      <c r="N245" s="46" t="s">
        <v>10</v>
      </c>
      <c r="O245" s="45" t="s">
        <v>45</v>
      </c>
      <c r="P245" s="3" t="str">
        <f>Capacitors[[#This Row],[Footprint]]</f>
        <v>CAP-0603</v>
      </c>
    </row>
    <row r="246" spans="1:16" x14ac:dyDescent="0.25">
      <c r="A246" s="95">
        <f t="shared" si="6"/>
        <v>245</v>
      </c>
      <c r="B246" s="50" t="s">
        <v>835</v>
      </c>
      <c r="C246" s="174" t="str">
        <f t="shared" si="7"/>
        <v>CAP</v>
      </c>
      <c r="D24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220uF 16V 20%   Radial, Can AECQ</v>
      </c>
      <c r="E246" s="45" t="s">
        <v>1261</v>
      </c>
      <c r="F246" s="45" t="s">
        <v>902</v>
      </c>
      <c r="G246" s="64" t="s">
        <v>125</v>
      </c>
      <c r="H246" s="74"/>
      <c r="I246" s="74"/>
      <c r="J246" s="12" t="s">
        <v>937</v>
      </c>
      <c r="K246" s="45" t="s">
        <v>1382</v>
      </c>
      <c r="L246" s="45" t="s">
        <v>1262</v>
      </c>
      <c r="M246" s="5" t="s">
        <v>11</v>
      </c>
      <c r="N246" s="46" t="s">
        <v>10</v>
      </c>
      <c r="O246" s="45" t="s">
        <v>45</v>
      </c>
      <c r="P246" s="3" t="str">
        <f>Capacitors[[#This Row],[Footprint]]</f>
        <v>Radial, Can</v>
      </c>
    </row>
    <row r="247" spans="1:16" x14ac:dyDescent="0.25">
      <c r="A247" s="95">
        <f t="shared" si="6"/>
        <v>246</v>
      </c>
      <c r="B247" s="50" t="s">
        <v>836</v>
      </c>
      <c r="C247" s="174" t="str">
        <f t="shared" si="7"/>
        <v>CAP</v>
      </c>
      <c r="D24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27pF 50V 5% C0G NFM 0603 AECQ</v>
      </c>
      <c r="E247" s="45" t="s">
        <v>1263</v>
      </c>
      <c r="F247" s="45" t="s">
        <v>51</v>
      </c>
      <c r="G247" s="64" t="s">
        <v>410</v>
      </c>
      <c r="H247" s="49" t="s">
        <v>889</v>
      </c>
      <c r="I247" s="49" t="s">
        <v>882</v>
      </c>
      <c r="J247" s="12" t="s">
        <v>46</v>
      </c>
      <c r="K247" s="45" t="s">
        <v>1383</v>
      </c>
      <c r="L247" s="45" t="s">
        <v>32</v>
      </c>
      <c r="M247" s="5" t="s">
        <v>11</v>
      </c>
      <c r="N247" s="46" t="s">
        <v>10</v>
      </c>
      <c r="O247" s="45" t="s">
        <v>45</v>
      </c>
      <c r="P247" s="3" t="str">
        <f>Capacitors[[#This Row],[Footprint]]</f>
        <v>CAP-0603</v>
      </c>
    </row>
    <row r="248" spans="1:16" x14ac:dyDescent="0.25">
      <c r="A248" s="95">
        <f t="shared" si="6"/>
        <v>247</v>
      </c>
      <c r="B248" s="14" t="s">
        <v>837</v>
      </c>
      <c r="C248" s="174" t="str">
        <f t="shared" si="7"/>
        <v>CAP</v>
      </c>
      <c r="D24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0603 AECQ</v>
      </c>
      <c r="E248" s="45" t="s">
        <v>61</v>
      </c>
      <c r="F248" s="7" t="s">
        <v>51</v>
      </c>
      <c r="G248" s="64" t="s">
        <v>55</v>
      </c>
      <c r="H248" s="49" t="s">
        <v>54</v>
      </c>
      <c r="I248" s="66" t="s">
        <v>882</v>
      </c>
      <c r="J248" s="12" t="s">
        <v>46</v>
      </c>
      <c r="K248" s="45" t="s">
        <v>1384</v>
      </c>
      <c r="L248" s="45" t="s">
        <v>913</v>
      </c>
      <c r="M248" s="5" t="s">
        <v>11</v>
      </c>
      <c r="N248" s="46" t="s">
        <v>10</v>
      </c>
      <c r="O248" s="45" t="s">
        <v>45</v>
      </c>
      <c r="P248" s="3" t="str">
        <f>Capacitors[[#This Row],[Footprint]]</f>
        <v>CAP-0603</v>
      </c>
    </row>
    <row r="249" spans="1:16" x14ac:dyDescent="0.25">
      <c r="A249" s="95">
        <f t="shared" si="6"/>
        <v>248</v>
      </c>
      <c r="B249" s="14" t="s">
        <v>837</v>
      </c>
      <c r="C249" s="174" t="str">
        <f t="shared" si="7"/>
        <v>CAP</v>
      </c>
      <c r="D24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OM 0603 AECQ</v>
      </c>
      <c r="E249" s="45" t="s">
        <v>61</v>
      </c>
      <c r="F249" s="7" t="s">
        <v>57</v>
      </c>
      <c r="G249" s="64" t="s">
        <v>55</v>
      </c>
      <c r="H249" s="49" t="s">
        <v>54</v>
      </c>
      <c r="I249" s="66" t="s">
        <v>883</v>
      </c>
      <c r="J249" s="12" t="s">
        <v>46</v>
      </c>
      <c r="K249" s="45" t="s">
        <v>1324</v>
      </c>
      <c r="L249" s="45" t="s">
        <v>32</v>
      </c>
      <c r="M249" s="5" t="s">
        <v>11</v>
      </c>
      <c r="N249" s="46" t="s">
        <v>10</v>
      </c>
      <c r="O249" s="45" t="s">
        <v>45</v>
      </c>
      <c r="P249" s="3" t="str">
        <f>Capacitors[[#This Row],[Footprint]]</f>
        <v>CAP-0603</v>
      </c>
    </row>
    <row r="250" spans="1:16" x14ac:dyDescent="0.25">
      <c r="A250" s="95">
        <f t="shared" si="6"/>
        <v>249</v>
      </c>
      <c r="B250" s="61" t="s">
        <v>838</v>
      </c>
      <c r="C250" s="174" t="str">
        <f t="shared" si="7"/>
        <v>CAP</v>
      </c>
      <c r="D25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22uF 63V 20%   Radial, Can AECQ</v>
      </c>
      <c r="E250" s="45" t="s">
        <v>899</v>
      </c>
      <c r="F250" s="45" t="s">
        <v>1264</v>
      </c>
      <c r="G250" s="64" t="s">
        <v>125</v>
      </c>
      <c r="H250" s="74"/>
      <c r="I250" s="74"/>
      <c r="J250" s="12" t="s">
        <v>937</v>
      </c>
      <c r="K250" s="45" t="s">
        <v>1385</v>
      </c>
      <c r="L250" s="45" t="s">
        <v>1262</v>
      </c>
      <c r="M250" s="5" t="s">
        <v>11</v>
      </c>
      <c r="N250" s="46" t="s">
        <v>10</v>
      </c>
      <c r="O250" s="45" t="s">
        <v>45</v>
      </c>
      <c r="P250" s="3" t="str">
        <f>Capacitors[[#This Row],[Footprint]]</f>
        <v>Radial, Can</v>
      </c>
    </row>
    <row r="251" spans="1:16" x14ac:dyDescent="0.25">
      <c r="A251" s="95">
        <f t="shared" si="6"/>
        <v>250</v>
      </c>
      <c r="B251" s="50" t="s">
        <v>839</v>
      </c>
      <c r="C251" s="174" t="str">
        <f t="shared" si="7"/>
        <v>CAP</v>
      </c>
      <c r="D25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22uF 16V 10% X7R NFM 1210 AECQ</v>
      </c>
      <c r="E251" s="45" t="s">
        <v>899</v>
      </c>
      <c r="F251" s="45" t="s">
        <v>902</v>
      </c>
      <c r="G251" s="64" t="s">
        <v>55</v>
      </c>
      <c r="H251" s="49" t="s">
        <v>54</v>
      </c>
      <c r="I251" s="49" t="s">
        <v>882</v>
      </c>
      <c r="J251" s="12" t="s">
        <v>62</v>
      </c>
      <c r="K251" s="80" t="s">
        <v>1386</v>
      </c>
      <c r="L251" s="45" t="s">
        <v>32</v>
      </c>
      <c r="M251" s="5" t="s">
        <v>11</v>
      </c>
      <c r="N251" s="46" t="s">
        <v>10</v>
      </c>
      <c r="O251" s="45" t="s">
        <v>45</v>
      </c>
      <c r="P251" s="3" t="str">
        <f>Capacitors[[#This Row],[Footprint]]</f>
        <v>CAP-1210</v>
      </c>
    </row>
    <row r="252" spans="1:16" x14ac:dyDescent="0.25">
      <c r="A252" s="95">
        <f t="shared" si="6"/>
        <v>251</v>
      </c>
      <c r="B252" s="50" t="s">
        <v>840</v>
      </c>
      <c r="C252" s="174" t="str">
        <f t="shared" si="7"/>
        <v>CAP</v>
      </c>
      <c r="D25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10% X7S ST 1210 AECQ</v>
      </c>
      <c r="E252" s="45" t="s">
        <v>897</v>
      </c>
      <c r="F252" s="45" t="s">
        <v>51</v>
      </c>
      <c r="G252" s="64" t="s">
        <v>55</v>
      </c>
      <c r="H252" s="49" t="s">
        <v>886</v>
      </c>
      <c r="I252" s="49" t="s">
        <v>884</v>
      </c>
      <c r="J252" s="12" t="s">
        <v>62</v>
      </c>
      <c r="K252" s="45" t="s">
        <v>934</v>
      </c>
      <c r="L252" s="45" t="s">
        <v>56</v>
      </c>
      <c r="M252" s="5" t="s">
        <v>11</v>
      </c>
      <c r="N252" s="46" t="s">
        <v>10</v>
      </c>
      <c r="O252" s="45" t="s">
        <v>45</v>
      </c>
      <c r="P252" s="3" t="str">
        <f>Capacitors[[#This Row],[Footprint]]</f>
        <v>CAP-1210</v>
      </c>
    </row>
    <row r="253" spans="1:16" x14ac:dyDescent="0.25">
      <c r="A253" s="95">
        <f t="shared" si="6"/>
        <v>252</v>
      </c>
      <c r="B253" s="50" t="s">
        <v>841</v>
      </c>
      <c r="C253" s="174" t="str">
        <f t="shared" si="7"/>
        <v>CAP</v>
      </c>
      <c r="D25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0603 STD</v>
      </c>
      <c r="E253" s="45" t="s">
        <v>58</v>
      </c>
      <c r="F253" s="45" t="s">
        <v>51</v>
      </c>
      <c r="G253" s="64" t="s">
        <v>55</v>
      </c>
      <c r="H253" s="49" t="s">
        <v>54</v>
      </c>
      <c r="I253" s="49" t="s">
        <v>882</v>
      </c>
      <c r="J253" s="12" t="s">
        <v>46</v>
      </c>
      <c r="K253" s="45" t="s">
        <v>1387</v>
      </c>
      <c r="L253" s="45" t="s">
        <v>32</v>
      </c>
      <c r="M253" s="86" t="s">
        <v>1561</v>
      </c>
      <c r="N253" s="46" t="s">
        <v>10</v>
      </c>
      <c r="O253" s="45" t="s">
        <v>45</v>
      </c>
      <c r="P253" s="3" t="str">
        <f>Capacitors[[#This Row],[Footprint]]</f>
        <v>CAP-0603</v>
      </c>
    </row>
    <row r="254" spans="1:16" x14ac:dyDescent="0.25">
      <c r="A254" s="95">
        <f t="shared" si="6"/>
        <v>253</v>
      </c>
      <c r="B254" s="14" t="s">
        <v>842</v>
      </c>
      <c r="C254" s="174" t="str">
        <f t="shared" si="7"/>
        <v>CAP</v>
      </c>
      <c r="D25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50V 10% X7R ST 0805 AECQ</v>
      </c>
      <c r="E254" s="45" t="s">
        <v>890</v>
      </c>
      <c r="F254" s="45" t="s">
        <v>51</v>
      </c>
      <c r="G254" s="64" t="s">
        <v>55</v>
      </c>
      <c r="H254" s="49" t="s">
        <v>54</v>
      </c>
      <c r="I254" s="66" t="s">
        <v>884</v>
      </c>
      <c r="J254" s="12" t="s">
        <v>49</v>
      </c>
      <c r="K254" s="45" t="s">
        <v>987</v>
      </c>
      <c r="L254" s="45" t="s">
        <v>36</v>
      </c>
      <c r="M254" s="5" t="s">
        <v>11</v>
      </c>
      <c r="N254" s="46" t="s">
        <v>10</v>
      </c>
      <c r="O254" s="45" t="s">
        <v>45</v>
      </c>
      <c r="P254" s="3" t="str">
        <f>Capacitors[[#This Row],[Footprint]]</f>
        <v>CAP-0805</v>
      </c>
    </row>
    <row r="255" spans="1:16" x14ac:dyDescent="0.25">
      <c r="A255" s="95">
        <f t="shared" si="6"/>
        <v>254</v>
      </c>
      <c r="B255" s="14" t="s">
        <v>842</v>
      </c>
      <c r="C255" s="174" t="str">
        <f t="shared" si="7"/>
        <v>CAP</v>
      </c>
      <c r="D25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50V 10% X7R NFM 0805 AECQ</v>
      </c>
      <c r="E255" s="45" t="s">
        <v>890</v>
      </c>
      <c r="F255" s="45" t="s">
        <v>51</v>
      </c>
      <c r="G255" s="64" t="s">
        <v>55</v>
      </c>
      <c r="H255" s="49" t="s">
        <v>54</v>
      </c>
      <c r="I255" s="66" t="s">
        <v>882</v>
      </c>
      <c r="J255" s="12" t="s">
        <v>49</v>
      </c>
      <c r="K255" s="45" t="s">
        <v>1388</v>
      </c>
      <c r="L255" s="45" t="s">
        <v>56</v>
      </c>
      <c r="M255" s="5" t="s">
        <v>11</v>
      </c>
      <c r="N255" s="46" t="s">
        <v>10</v>
      </c>
      <c r="O255" s="45" t="s">
        <v>45</v>
      </c>
      <c r="P255" s="3" t="str">
        <f>Capacitors[[#This Row],[Footprint]]</f>
        <v>CAP-0805</v>
      </c>
    </row>
    <row r="256" spans="1:16" x14ac:dyDescent="0.25">
      <c r="A256" s="95">
        <f t="shared" si="6"/>
        <v>255</v>
      </c>
      <c r="B256" s="14" t="s">
        <v>842</v>
      </c>
      <c r="C256" s="174" t="str">
        <f t="shared" si="7"/>
        <v>CAP</v>
      </c>
      <c r="D25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50V 10% X7R ST 0805 AECQ</v>
      </c>
      <c r="E256" s="45" t="s">
        <v>890</v>
      </c>
      <c r="F256" s="45" t="s">
        <v>51</v>
      </c>
      <c r="G256" s="64" t="s">
        <v>55</v>
      </c>
      <c r="H256" s="49" t="s">
        <v>54</v>
      </c>
      <c r="I256" s="66" t="s">
        <v>884</v>
      </c>
      <c r="J256" s="12" t="s">
        <v>49</v>
      </c>
      <c r="K256" s="45" t="s">
        <v>1389</v>
      </c>
      <c r="L256" s="45" t="s">
        <v>56</v>
      </c>
      <c r="M256" s="5" t="s">
        <v>11</v>
      </c>
      <c r="N256" s="46" t="s">
        <v>10</v>
      </c>
      <c r="O256" s="45" t="s">
        <v>45</v>
      </c>
      <c r="P256" s="3" t="str">
        <f>Capacitors[[#This Row],[Footprint]]</f>
        <v>CAP-0805</v>
      </c>
    </row>
    <row r="257" spans="1:16" x14ac:dyDescent="0.25">
      <c r="A257" s="95">
        <f t="shared" si="6"/>
        <v>256</v>
      </c>
      <c r="B257" s="14" t="s">
        <v>842</v>
      </c>
      <c r="C257" s="174" t="str">
        <f t="shared" si="7"/>
        <v>CAP</v>
      </c>
      <c r="D25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50V 10% X7R ST 0805 AECQ</v>
      </c>
      <c r="E257" s="45" t="s">
        <v>890</v>
      </c>
      <c r="F257" s="45" t="s">
        <v>51</v>
      </c>
      <c r="G257" s="64" t="s">
        <v>55</v>
      </c>
      <c r="H257" s="49" t="s">
        <v>54</v>
      </c>
      <c r="I257" s="66" t="s">
        <v>884</v>
      </c>
      <c r="J257" s="12" t="s">
        <v>49</v>
      </c>
      <c r="K257" s="45" t="s">
        <v>987</v>
      </c>
      <c r="L257" s="45" t="s">
        <v>36</v>
      </c>
      <c r="M257" s="5" t="s">
        <v>11</v>
      </c>
      <c r="N257" s="46" t="s">
        <v>10</v>
      </c>
      <c r="O257" s="45" t="s">
        <v>45</v>
      </c>
      <c r="P257" s="3" t="str">
        <f>Capacitors[[#This Row],[Footprint]]</f>
        <v>CAP-0805</v>
      </c>
    </row>
    <row r="258" spans="1:16" x14ac:dyDescent="0.25">
      <c r="A258" s="95">
        <f t="shared" si="6"/>
        <v>257</v>
      </c>
      <c r="B258" s="50" t="s">
        <v>843</v>
      </c>
      <c r="C258" s="174" t="str">
        <f t="shared" si="7"/>
        <v>CAP</v>
      </c>
      <c r="D25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100V 10% X7R ST 0603 AECQ</v>
      </c>
      <c r="E258" s="45" t="s">
        <v>61</v>
      </c>
      <c r="F258" s="45" t="s">
        <v>57</v>
      </c>
      <c r="G258" s="64" t="s">
        <v>55</v>
      </c>
      <c r="H258" s="49" t="s">
        <v>54</v>
      </c>
      <c r="I258" s="49" t="s">
        <v>884</v>
      </c>
      <c r="J258" s="12" t="s">
        <v>46</v>
      </c>
      <c r="K258" s="45" t="s">
        <v>988</v>
      </c>
      <c r="L258" s="45" t="s">
        <v>56</v>
      </c>
      <c r="M258" s="5" t="s">
        <v>11</v>
      </c>
      <c r="N258" s="46" t="s">
        <v>10</v>
      </c>
      <c r="O258" s="45" t="s">
        <v>45</v>
      </c>
      <c r="P258" s="3" t="str">
        <f>Capacitors[[#This Row],[Footprint]]</f>
        <v>CAP-0603</v>
      </c>
    </row>
    <row r="259" spans="1:16" x14ac:dyDescent="0.25">
      <c r="A259" s="95">
        <f t="shared" ref="A259:A311" si="8">ROW()-1</f>
        <v>258</v>
      </c>
      <c r="B259" s="50" t="s">
        <v>844</v>
      </c>
      <c r="C259" s="174" t="str">
        <f t="shared" si="7"/>
        <v>CAP</v>
      </c>
      <c r="D25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50V 10% X7R OM 0603 AECQ</v>
      </c>
      <c r="E259" s="45" t="s">
        <v>881</v>
      </c>
      <c r="F259" s="45" t="s">
        <v>51</v>
      </c>
      <c r="G259" s="64" t="s">
        <v>55</v>
      </c>
      <c r="H259" s="49" t="s">
        <v>54</v>
      </c>
      <c r="I259" s="49" t="s">
        <v>883</v>
      </c>
      <c r="J259" s="12" t="s">
        <v>46</v>
      </c>
      <c r="K259" s="45" t="s">
        <v>1278</v>
      </c>
      <c r="L259" s="45" t="s">
        <v>32</v>
      </c>
      <c r="M259" s="5" t="s">
        <v>11</v>
      </c>
      <c r="N259" s="46" t="s">
        <v>10</v>
      </c>
      <c r="O259" s="45" t="s">
        <v>45</v>
      </c>
      <c r="P259" s="3" t="str">
        <f>Capacitors[[#This Row],[Footprint]]</f>
        <v>CAP-0603</v>
      </c>
    </row>
    <row r="260" spans="1:16" x14ac:dyDescent="0.25">
      <c r="A260" s="95">
        <f t="shared" si="8"/>
        <v>259</v>
      </c>
      <c r="B260" s="50" t="s">
        <v>845</v>
      </c>
      <c r="C260" s="174" t="str">
        <f t="shared" ref="C260:C311" si="9">"CAP"</f>
        <v>CAP</v>
      </c>
      <c r="D26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100V 10% X7R FT 1206 AECQ</v>
      </c>
      <c r="E260" s="45" t="s">
        <v>898</v>
      </c>
      <c r="F260" s="45" t="s">
        <v>57</v>
      </c>
      <c r="G260" s="64" t="s">
        <v>55</v>
      </c>
      <c r="H260" s="49" t="s">
        <v>54</v>
      </c>
      <c r="I260" s="49" t="s">
        <v>904</v>
      </c>
      <c r="J260" s="12" t="s">
        <v>50</v>
      </c>
      <c r="K260" s="45" t="s">
        <v>989</v>
      </c>
      <c r="L260" s="45" t="s">
        <v>37</v>
      </c>
      <c r="M260" s="5" t="s">
        <v>11</v>
      </c>
      <c r="N260" s="46" t="s">
        <v>10</v>
      </c>
      <c r="O260" s="45" t="s">
        <v>45</v>
      </c>
      <c r="P260" s="3" t="str">
        <f>Capacitors[[#This Row],[Footprint]]</f>
        <v>CAP-1206</v>
      </c>
    </row>
    <row r="261" spans="1:16" x14ac:dyDescent="0.25">
      <c r="A261" s="95">
        <f t="shared" si="8"/>
        <v>260</v>
      </c>
      <c r="B261" s="50" t="s">
        <v>846</v>
      </c>
      <c r="C261" s="174" t="str">
        <f t="shared" si="9"/>
        <v>CAP</v>
      </c>
      <c r="D26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0402 AECQ</v>
      </c>
      <c r="E261" s="45" t="s">
        <v>895</v>
      </c>
      <c r="F261" s="45" t="s">
        <v>51</v>
      </c>
      <c r="G261" s="64" t="s">
        <v>55</v>
      </c>
      <c r="H261" s="49" t="s">
        <v>54</v>
      </c>
      <c r="I261" s="49" t="s">
        <v>882</v>
      </c>
      <c r="J261" s="12" t="s">
        <v>48</v>
      </c>
      <c r="K261" s="45" t="s">
        <v>1390</v>
      </c>
      <c r="L261" s="45" t="s">
        <v>32</v>
      </c>
      <c r="M261" s="5" t="s">
        <v>11</v>
      </c>
      <c r="N261" s="46" t="s">
        <v>10</v>
      </c>
      <c r="O261" s="45" t="s">
        <v>45</v>
      </c>
      <c r="P261" s="3" t="str">
        <f>Capacitors[[#This Row],[Footprint]]</f>
        <v>CAP-0402</v>
      </c>
    </row>
    <row r="262" spans="1:16" x14ac:dyDescent="0.25">
      <c r="A262" s="95">
        <f t="shared" si="8"/>
        <v>261</v>
      </c>
      <c r="B262" s="50" t="s">
        <v>846</v>
      </c>
      <c r="C262" s="174" t="str">
        <f t="shared" si="9"/>
        <v>CAP</v>
      </c>
      <c r="D26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470pF 50V 10% X7R NFM 0402 AECQ</v>
      </c>
      <c r="E262" s="45" t="s">
        <v>895</v>
      </c>
      <c r="F262" s="45" t="s">
        <v>51</v>
      </c>
      <c r="G262" s="64" t="s">
        <v>55</v>
      </c>
      <c r="H262" s="49" t="s">
        <v>54</v>
      </c>
      <c r="I262" s="49" t="s">
        <v>882</v>
      </c>
      <c r="J262" s="12" t="s">
        <v>48</v>
      </c>
      <c r="K262" s="45" t="s">
        <v>1391</v>
      </c>
      <c r="L262" s="45" t="s">
        <v>56</v>
      </c>
      <c r="M262" s="5" t="s">
        <v>11</v>
      </c>
      <c r="N262" s="46" t="s">
        <v>10</v>
      </c>
      <c r="O262" s="45" t="s">
        <v>45</v>
      </c>
      <c r="P262" s="3" t="str">
        <f>Capacitors[[#This Row],[Footprint]]</f>
        <v>CAP-0402</v>
      </c>
    </row>
    <row r="263" spans="1:16" x14ac:dyDescent="0.25">
      <c r="A263" s="164">
        <f t="shared" si="8"/>
        <v>262</v>
      </c>
      <c r="B263" s="14" t="s">
        <v>847</v>
      </c>
      <c r="C263" s="174" t="str">
        <f t="shared" si="9"/>
        <v>CAP</v>
      </c>
      <c r="D26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0402 AECQ</v>
      </c>
      <c r="E263" s="7" t="s">
        <v>58</v>
      </c>
      <c r="F263" s="7" t="s">
        <v>51</v>
      </c>
      <c r="G263" s="64" t="s">
        <v>55</v>
      </c>
      <c r="H263" s="49" t="s">
        <v>54</v>
      </c>
      <c r="I263" s="66" t="s">
        <v>882</v>
      </c>
      <c r="J263" s="23" t="s">
        <v>48</v>
      </c>
      <c r="K263" s="45" t="s">
        <v>1392</v>
      </c>
      <c r="L263" s="45" t="s">
        <v>32</v>
      </c>
      <c r="M263" s="5" t="s">
        <v>11</v>
      </c>
      <c r="N263" s="46" t="s">
        <v>10</v>
      </c>
      <c r="O263" s="45" t="s">
        <v>45</v>
      </c>
      <c r="P263" s="3" t="str">
        <f>Capacitors[[#This Row],[Footprint]]</f>
        <v>CAP-0402</v>
      </c>
    </row>
    <row r="264" spans="1:16" x14ac:dyDescent="0.25">
      <c r="A264" s="95">
        <f t="shared" si="8"/>
        <v>263</v>
      </c>
      <c r="B264" s="14" t="s">
        <v>847</v>
      </c>
      <c r="C264" s="174" t="str">
        <f t="shared" si="9"/>
        <v>CAP</v>
      </c>
      <c r="D26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ST 0603 AECQ</v>
      </c>
      <c r="E264" s="7" t="s">
        <v>881</v>
      </c>
      <c r="F264" s="7" t="s">
        <v>57</v>
      </c>
      <c r="G264" s="64" t="s">
        <v>55</v>
      </c>
      <c r="H264" s="49" t="s">
        <v>54</v>
      </c>
      <c r="I264" s="66" t="s">
        <v>884</v>
      </c>
      <c r="J264" s="23" t="s">
        <v>46</v>
      </c>
      <c r="K264" s="45" t="s">
        <v>1347</v>
      </c>
      <c r="L264" s="45" t="s">
        <v>56</v>
      </c>
      <c r="M264" s="5" t="s">
        <v>11</v>
      </c>
      <c r="N264" s="46" t="s">
        <v>10</v>
      </c>
      <c r="O264" s="45" t="s">
        <v>45</v>
      </c>
      <c r="P264" s="3" t="str">
        <f>Capacitors[[#This Row],[Footprint]]</f>
        <v>CAP-0603</v>
      </c>
    </row>
    <row r="265" spans="1:16" x14ac:dyDescent="0.25">
      <c r="A265" s="95">
        <f t="shared" si="8"/>
        <v>264</v>
      </c>
      <c r="B265" s="14" t="s">
        <v>847</v>
      </c>
      <c r="C265" s="174" t="str">
        <f t="shared" si="9"/>
        <v>CAP</v>
      </c>
      <c r="D26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1nF 100V 10% X7R OM 0603 AECQ</v>
      </c>
      <c r="E265" s="7" t="s">
        <v>881</v>
      </c>
      <c r="F265" s="7" t="s">
        <v>57</v>
      </c>
      <c r="G265" s="64" t="s">
        <v>55</v>
      </c>
      <c r="H265" s="49" t="s">
        <v>54</v>
      </c>
      <c r="I265" s="66" t="s">
        <v>883</v>
      </c>
      <c r="J265" s="23" t="s">
        <v>46</v>
      </c>
      <c r="K265" s="45" t="s">
        <v>1346</v>
      </c>
      <c r="L265" s="45" t="s">
        <v>32</v>
      </c>
      <c r="M265" s="5" t="s">
        <v>11</v>
      </c>
      <c r="N265" s="46" t="s">
        <v>10</v>
      </c>
      <c r="O265" s="45" t="s">
        <v>45</v>
      </c>
      <c r="P265" s="3" t="str">
        <f>Capacitors[[#This Row],[Footprint]]</f>
        <v>CAP-0603</v>
      </c>
    </row>
    <row r="266" spans="1:16" x14ac:dyDescent="0.25">
      <c r="A266" s="95">
        <f t="shared" si="8"/>
        <v>265</v>
      </c>
      <c r="B266" s="14" t="s">
        <v>847</v>
      </c>
      <c r="C266" s="174" t="str">
        <f t="shared" si="9"/>
        <v>CAP</v>
      </c>
      <c r="D26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0402 AECQ</v>
      </c>
      <c r="E266" s="7" t="s">
        <v>58</v>
      </c>
      <c r="F266" s="7" t="s">
        <v>51</v>
      </c>
      <c r="G266" s="64" t="s">
        <v>55</v>
      </c>
      <c r="H266" s="49" t="s">
        <v>54</v>
      </c>
      <c r="I266" s="66" t="s">
        <v>882</v>
      </c>
      <c r="J266" s="23" t="s">
        <v>48</v>
      </c>
      <c r="K266" s="45" t="s">
        <v>1393</v>
      </c>
      <c r="L266" s="45" t="s">
        <v>913</v>
      </c>
      <c r="M266" s="5" t="s">
        <v>11</v>
      </c>
      <c r="N266" s="46" t="s">
        <v>10</v>
      </c>
      <c r="O266" s="45" t="s">
        <v>45</v>
      </c>
      <c r="P266" s="3" t="str">
        <f>Capacitors[[#This Row],[Footprint]]</f>
        <v>CAP-0402</v>
      </c>
    </row>
    <row r="267" spans="1:16" x14ac:dyDescent="0.25">
      <c r="A267" s="95">
        <f t="shared" si="8"/>
        <v>266</v>
      </c>
      <c r="B267" s="14" t="s">
        <v>847</v>
      </c>
      <c r="C267" s="174" t="str">
        <f t="shared" si="9"/>
        <v>CAP</v>
      </c>
      <c r="D26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0402 AECQ</v>
      </c>
      <c r="E267" s="7" t="s">
        <v>58</v>
      </c>
      <c r="F267" s="7" t="s">
        <v>51</v>
      </c>
      <c r="G267" s="64" t="s">
        <v>55</v>
      </c>
      <c r="H267" s="49" t="s">
        <v>54</v>
      </c>
      <c r="I267" s="66" t="s">
        <v>882</v>
      </c>
      <c r="J267" s="23" t="s">
        <v>48</v>
      </c>
      <c r="K267" s="45" t="s">
        <v>1394</v>
      </c>
      <c r="L267" s="45" t="s">
        <v>56</v>
      </c>
      <c r="M267" s="5" t="s">
        <v>11</v>
      </c>
      <c r="N267" s="46" t="s">
        <v>10</v>
      </c>
      <c r="O267" s="45" t="s">
        <v>45</v>
      </c>
      <c r="P267" s="3" t="str">
        <f>Capacitors[[#This Row],[Footprint]]</f>
        <v>CAP-0402</v>
      </c>
    </row>
    <row r="268" spans="1:16" x14ac:dyDescent="0.25">
      <c r="A268" s="95">
        <f t="shared" si="8"/>
        <v>267</v>
      </c>
      <c r="B268" s="14" t="s">
        <v>847</v>
      </c>
      <c r="C268" s="174" t="str">
        <f t="shared" si="9"/>
        <v>CAP</v>
      </c>
      <c r="D26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NFM 0402 AECQ</v>
      </c>
      <c r="E268" s="7" t="s">
        <v>58</v>
      </c>
      <c r="F268" s="7" t="s">
        <v>51</v>
      </c>
      <c r="G268" s="64" t="s">
        <v>55</v>
      </c>
      <c r="H268" s="49" t="s">
        <v>54</v>
      </c>
      <c r="I268" s="66" t="s">
        <v>882</v>
      </c>
      <c r="J268" s="23" t="s">
        <v>48</v>
      </c>
      <c r="K268" s="45" t="s">
        <v>1392</v>
      </c>
      <c r="L268" s="45" t="s">
        <v>32</v>
      </c>
      <c r="M268" s="5" t="s">
        <v>11</v>
      </c>
      <c r="N268" s="46" t="s">
        <v>10</v>
      </c>
      <c r="O268" s="45" t="s">
        <v>45</v>
      </c>
      <c r="P268" s="3" t="str">
        <f>Capacitors[[#This Row],[Footprint]]</f>
        <v>CAP-0402</v>
      </c>
    </row>
    <row r="269" spans="1:16" x14ac:dyDescent="0.25">
      <c r="A269" s="95">
        <f t="shared" si="8"/>
        <v>268</v>
      </c>
      <c r="B269" s="119" t="s">
        <v>848</v>
      </c>
      <c r="C269" s="174" t="str">
        <f t="shared" si="9"/>
        <v>CAP</v>
      </c>
      <c r="D26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FT 1206 AECQ</v>
      </c>
      <c r="E269" s="71" t="s">
        <v>58</v>
      </c>
      <c r="F269" s="71" t="s">
        <v>51</v>
      </c>
      <c r="G269" s="64" t="s">
        <v>55</v>
      </c>
      <c r="H269" s="49" t="s">
        <v>54</v>
      </c>
      <c r="I269" s="77" t="s">
        <v>904</v>
      </c>
      <c r="J269" s="87" t="s">
        <v>50</v>
      </c>
      <c r="K269" s="45" t="s">
        <v>990</v>
      </c>
      <c r="L269" s="45" t="s">
        <v>913</v>
      </c>
      <c r="M269" s="5" t="s">
        <v>11</v>
      </c>
      <c r="N269" s="46" t="s">
        <v>10</v>
      </c>
      <c r="O269" s="45" t="s">
        <v>45</v>
      </c>
      <c r="P269" s="3" t="str">
        <f>Capacitors[[#This Row],[Footprint]]</f>
        <v>CAP-1206</v>
      </c>
    </row>
    <row r="270" spans="1:16" x14ac:dyDescent="0.25">
      <c r="A270" s="95">
        <f t="shared" si="8"/>
        <v>269</v>
      </c>
      <c r="B270" s="119" t="s">
        <v>848</v>
      </c>
      <c r="C270" s="174" t="str">
        <f t="shared" si="9"/>
        <v>CAP</v>
      </c>
      <c r="D27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OM 0805 AECQ</v>
      </c>
      <c r="E270" s="71" t="s">
        <v>59</v>
      </c>
      <c r="F270" s="71" t="s">
        <v>57</v>
      </c>
      <c r="G270" s="64" t="s">
        <v>55</v>
      </c>
      <c r="H270" s="49" t="s">
        <v>54</v>
      </c>
      <c r="I270" s="77" t="s">
        <v>883</v>
      </c>
      <c r="J270" s="87" t="s">
        <v>49</v>
      </c>
      <c r="K270" s="45" t="s">
        <v>1291</v>
      </c>
      <c r="L270" s="45" t="s">
        <v>32</v>
      </c>
      <c r="M270" s="5" t="s">
        <v>11</v>
      </c>
      <c r="N270" s="46" t="s">
        <v>10</v>
      </c>
      <c r="O270" s="45" t="s">
        <v>45</v>
      </c>
      <c r="P270" s="3" t="str">
        <f>Capacitors[[#This Row],[Footprint]]</f>
        <v>CAP-0805</v>
      </c>
    </row>
    <row r="271" spans="1:16" x14ac:dyDescent="0.25">
      <c r="A271" s="95">
        <f t="shared" si="8"/>
        <v>270</v>
      </c>
      <c r="B271" s="50" t="s">
        <v>849</v>
      </c>
      <c r="C271" s="174" t="str">
        <f t="shared" si="9"/>
        <v>CAP</v>
      </c>
      <c r="D27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10nF 50V 10% X7R ST 0603 AECQ</v>
      </c>
      <c r="E271" s="45" t="s">
        <v>58</v>
      </c>
      <c r="F271" s="45" t="s">
        <v>51</v>
      </c>
      <c r="G271" s="64" t="s">
        <v>55</v>
      </c>
      <c r="H271" s="49" t="s">
        <v>54</v>
      </c>
      <c r="I271" s="49" t="s">
        <v>884</v>
      </c>
      <c r="J271" s="12" t="s">
        <v>46</v>
      </c>
      <c r="K271" s="45" t="s">
        <v>922</v>
      </c>
      <c r="L271" s="45" t="s">
        <v>53</v>
      </c>
      <c r="M271" s="5" t="s">
        <v>11</v>
      </c>
      <c r="N271" s="46" t="s">
        <v>10</v>
      </c>
      <c r="O271" s="45" t="s">
        <v>45</v>
      </c>
      <c r="P271" s="3" t="str">
        <f>Capacitors[[#This Row],[Footprint]]</f>
        <v>CAP-0603</v>
      </c>
    </row>
    <row r="272" spans="1:16" x14ac:dyDescent="0.25">
      <c r="A272" s="95">
        <f t="shared" si="8"/>
        <v>271</v>
      </c>
      <c r="B272" s="50" t="s">
        <v>850</v>
      </c>
      <c r="C272" s="174" t="str">
        <f t="shared" si="9"/>
        <v>CAP</v>
      </c>
      <c r="D27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5.6nF 10V 1% X8R NFM 0603 AECQ</v>
      </c>
      <c r="E272" s="45" t="s">
        <v>1265</v>
      </c>
      <c r="F272" s="45" t="s">
        <v>901</v>
      </c>
      <c r="G272" s="64" t="s">
        <v>13</v>
      </c>
      <c r="H272" s="49" t="s">
        <v>905</v>
      </c>
      <c r="I272" s="49" t="s">
        <v>882</v>
      </c>
      <c r="J272" s="12" t="s">
        <v>46</v>
      </c>
      <c r="K272" s="45" t="s">
        <v>991</v>
      </c>
      <c r="L272" s="45" t="s">
        <v>913</v>
      </c>
      <c r="M272" s="5" t="s">
        <v>11</v>
      </c>
      <c r="N272" s="46" t="s">
        <v>10</v>
      </c>
      <c r="O272" s="45" t="s">
        <v>45</v>
      </c>
      <c r="P272" s="3" t="str">
        <f>Capacitors[[#This Row],[Footprint]]</f>
        <v>CAP-0603</v>
      </c>
    </row>
    <row r="273" spans="1:16" x14ac:dyDescent="0.25">
      <c r="A273" s="95">
        <f t="shared" si="8"/>
        <v>272</v>
      </c>
      <c r="B273" s="50" t="s">
        <v>851</v>
      </c>
      <c r="C273" s="174" t="str">
        <f t="shared" si="9"/>
        <v>CAP</v>
      </c>
      <c r="D27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10uF 50V 10% X7S ST 1210 AECQ</v>
      </c>
      <c r="E273" s="45" t="s">
        <v>897</v>
      </c>
      <c r="F273" s="45" t="s">
        <v>51</v>
      </c>
      <c r="G273" s="64" t="s">
        <v>55</v>
      </c>
      <c r="H273" s="49" t="s">
        <v>886</v>
      </c>
      <c r="I273" s="49" t="s">
        <v>884</v>
      </c>
      <c r="J273" s="12" t="s">
        <v>62</v>
      </c>
      <c r="K273" s="45" t="s">
        <v>934</v>
      </c>
      <c r="L273" s="45" t="s">
        <v>56</v>
      </c>
      <c r="M273" s="5" t="s">
        <v>11</v>
      </c>
      <c r="N273" s="46" t="s">
        <v>10</v>
      </c>
      <c r="O273" s="45" t="s">
        <v>45</v>
      </c>
      <c r="P273" s="3" t="str">
        <f>Capacitors[[#This Row],[Footprint]]</f>
        <v>CAP-1210</v>
      </c>
    </row>
    <row r="274" spans="1:16" x14ac:dyDescent="0.25">
      <c r="A274" s="95">
        <f t="shared" si="8"/>
        <v>273</v>
      </c>
      <c r="B274" s="50" t="s">
        <v>852</v>
      </c>
      <c r="C274" s="174" t="str">
        <f t="shared" si="9"/>
        <v>CAP</v>
      </c>
      <c r="D27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100V 10% X7S ST 0805 AECQ</v>
      </c>
      <c r="E274" s="45" t="s">
        <v>885</v>
      </c>
      <c r="F274" s="45" t="s">
        <v>57</v>
      </c>
      <c r="G274" s="64" t="s">
        <v>55</v>
      </c>
      <c r="H274" s="49" t="s">
        <v>886</v>
      </c>
      <c r="I274" s="49" t="s">
        <v>884</v>
      </c>
      <c r="J274" s="12" t="s">
        <v>49</v>
      </c>
      <c r="K274" s="45" t="s">
        <v>1350</v>
      </c>
      <c r="L274" s="45" t="s">
        <v>56</v>
      </c>
      <c r="M274" s="5" t="s">
        <v>11</v>
      </c>
      <c r="N274" s="46" t="s">
        <v>10</v>
      </c>
      <c r="O274" s="45" t="s">
        <v>45</v>
      </c>
      <c r="P274" s="3" t="str">
        <f>Capacitors[[#This Row],[Footprint]]</f>
        <v>CAP-0805</v>
      </c>
    </row>
    <row r="275" spans="1:16" x14ac:dyDescent="0.25">
      <c r="A275" s="95">
        <f t="shared" si="8"/>
        <v>274</v>
      </c>
      <c r="B275" s="50" t="s">
        <v>853</v>
      </c>
      <c r="C275" s="174" t="str">
        <f t="shared" si="9"/>
        <v>CAP</v>
      </c>
      <c r="D27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6.8nF 50V 10% X7R NFM 0603 AECQ</v>
      </c>
      <c r="E275" s="45" t="s">
        <v>1266</v>
      </c>
      <c r="F275" s="45" t="s">
        <v>51</v>
      </c>
      <c r="G275" s="64" t="s">
        <v>55</v>
      </c>
      <c r="H275" s="49" t="s">
        <v>54</v>
      </c>
      <c r="I275" s="49" t="s">
        <v>882</v>
      </c>
      <c r="J275" s="12" t="s">
        <v>46</v>
      </c>
      <c r="K275" s="45" t="s">
        <v>992</v>
      </c>
      <c r="L275" s="45" t="s">
        <v>913</v>
      </c>
      <c r="M275" s="5" t="s">
        <v>11</v>
      </c>
      <c r="N275" s="46" t="s">
        <v>10</v>
      </c>
      <c r="O275" s="45" t="s">
        <v>45</v>
      </c>
      <c r="P275" s="3" t="str">
        <f>Capacitors[[#This Row],[Footprint]]</f>
        <v>CAP-0603</v>
      </c>
    </row>
    <row r="276" spans="1:16" x14ac:dyDescent="0.25">
      <c r="A276" s="95">
        <f t="shared" si="8"/>
        <v>275</v>
      </c>
      <c r="B276" s="50" t="s">
        <v>854</v>
      </c>
      <c r="C276" s="174" t="str">
        <f t="shared" si="9"/>
        <v>CAP</v>
      </c>
      <c r="D27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47pF 50V 5% NP0  NFM 0805 AECQ</v>
      </c>
      <c r="E276" s="45" t="s">
        <v>1267</v>
      </c>
      <c r="F276" s="45" t="s">
        <v>51</v>
      </c>
      <c r="G276" s="64" t="s">
        <v>410</v>
      </c>
      <c r="H276" s="49" t="s">
        <v>1268</v>
      </c>
      <c r="I276" s="49" t="s">
        <v>882</v>
      </c>
      <c r="J276" s="12" t="s">
        <v>49</v>
      </c>
      <c r="K276" s="45" t="s">
        <v>993</v>
      </c>
      <c r="L276" s="45" t="s">
        <v>37</v>
      </c>
      <c r="M276" s="5" t="s">
        <v>11</v>
      </c>
      <c r="N276" s="46" t="s">
        <v>10</v>
      </c>
      <c r="O276" s="45" t="s">
        <v>45</v>
      </c>
      <c r="P276" s="3" t="str">
        <f>Capacitors[[#This Row],[Footprint]]</f>
        <v>CAP-0805</v>
      </c>
    </row>
    <row r="277" spans="1:16" x14ac:dyDescent="0.25">
      <c r="A277" s="95">
        <f t="shared" si="8"/>
        <v>276</v>
      </c>
      <c r="B277" s="50" t="s">
        <v>855</v>
      </c>
      <c r="C277" s="174" t="str">
        <f t="shared" si="9"/>
        <v>CAP</v>
      </c>
      <c r="D27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22uF 16V 20% X5R NFM 0805 AECQ</v>
      </c>
      <c r="E277" s="45" t="s">
        <v>899</v>
      </c>
      <c r="F277" s="45" t="s">
        <v>902</v>
      </c>
      <c r="G277" s="64" t="s">
        <v>125</v>
      </c>
      <c r="H277" s="49" t="s">
        <v>903</v>
      </c>
      <c r="I277" s="49" t="s">
        <v>882</v>
      </c>
      <c r="J277" s="12" t="s">
        <v>49</v>
      </c>
      <c r="K277" s="45" t="s">
        <v>1395</v>
      </c>
      <c r="L277" s="45" t="s">
        <v>56</v>
      </c>
      <c r="M277" s="5" t="s">
        <v>11</v>
      </c>
      <c r="N277" s="46" t="s">
        <v>10</v>
      </c>
      <c r="O277" s="45" t="s">
        <v>45</v>
      </c>
      <c r="P277" s="3" t="str">
        <f>Capacitors[[#This Row],[Footprint]]</f>
        <v>CAP-0805</v>
      </c>
    </row>
    <row r="278" spans="1:16" x14ac:dyDescent="0.25">
      <c r="A278" s="95">
        <f t="shared" si="8"/>
        <v>277</v>
      </c>
      <c r="B278" s="50" t="s">
        <v>856</v>
      </c>
      <c r="C278" s="174" t="str">
        <f t="shared" si="9"/>
        <v>CAP</v>
      </c>
      <c r="D27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27pF 50V 5% C0G OM 0805 AECQ</v>
      </c>
      <c r="E278" s="45" t="s">
        <v>1263</v>
      </c>
      <c r="F278" s="45" t="s">
        <v>51</v>
      </c>
      <c r="G278" s="64" t="s">
        <v>410</v>
      </c>
      <c r="H278" s="49" t="s">
        <v>889</v>
      </c>
      <c r="I278" s="49" t="s">
        <v>883</v>
      </c>
      <c r="J278" s="12" t="s">
        <v>49</v>
      </c>
      <c r="K278" s="45" t="s">
        <v>1396</v>
      </c>
      <c r="L278" s="45" t="s">
        <v>32</v>
      </c>
      <c r="M278" s="5" t="s">
        <v>11</v>
      </c>
      <c r="N278" s="46" t="s">
        <v>10</v>
      </c>
      <c r="O278" s="45" t="s">
        <v>45</v>
      </c>
      <c r="P278" s="3" t="str">
        <f>Capacitors[[#This Row],[Footprint]]</f>
        <v>CAP-0805</v>
      </c>
    </row>
    <row r="279" spans="1:16" x14ac:dyDescent="0.25">
      <c r="A279" s="95">
        <f t="shared" si="8"/>
        <v>278</v>
      </c>
      <c r="B279" s="50" t="s">
        <v>857</v>
      </c>
      <c r="C279" s="174" t="str">
        <f t="shared" si="9"/>
        <v>CAP</v>
      </c>
      <c r="D27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5.6nF 50V 10% X7R NFM 0805 AECQ</v>
      </c>
      <c r="E279" s="45" t="s">
        <v>1265</v>
      </c>
      <c r="F279" s="45" t="s">
        <v>51</v>
      </c>
      <c r="G279" s="64" t="s">
        <v>55</v>
      </c>
      <c r="H279" s="49" t="s">
        <v>54</v>
      </c>
      <c r="I279" s="49" t="s">
        <v>882</v>
      </c>
      <c r="J279" s="12" t="s">
        <v>49</v>
      </c>
      <c r="K279" s="45" t="s">
        <v>994</v>
      </c>
      <c r="L279" s="45" t="s">
        <v>37</v>
      </c>
      <c r="M279" s="5" t="s">
        <v>11</v>
      </c>
      <c r="N279" s="46" t="s">
        <v>10</v>
      </c>
      <c r="O279" s="45" t="s">
        <v>45</v>
      </c>
      <c r="P279" s="3" t="str">
        <f>Capacitors[[#This Row],[Footprint]]</f>
        <v>CAP-0805</v>
      </c>
    </row>
    <row r="280" spans="1:16" x14ac:dyDescent="0.25">
      <c r="A280" s="95">
        <f t="shared" si="8"/>
        <v>279</v>
      </c>
      <c r="B280" s="50" t="s">
        <v>858</v>
      </c>
      <c r="C280" s="174" t="str">
        <f t="shared" si="9"/>
        <v>CAP</v>
      </c>
      <c r="D28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100pF 50V 5% C0G NFM 0805 AECQ</v>
      </c>
      <c r="E280" s="45" t="s">
        <v>887</v>
      </c>
      <c r="F280" s="45" t="s">
        <v>51</v>
      </c>
      <c r="G280" s="64" t="s">
        <v>410</v>
      </c>
      <c r="H280" s="49" t="s">
        <v>889</v>
      </c>
      <c r="I280" s="49" t="s">
        <v>882</v>
      </c>
      <c r="J280" s="12" t="s">
        <v>49</v>
      </c>
      <c r="K280" s="45" t="s">
        <v>995</v>
      </c>
      <c r="L280" s="45" t="s">
        <v>32</v>
      </c>
      <c r="M280" s="5" t="s">
        <v>11</v>
      </c>
      <c r="N280" s="46" t="s">
        <v>10</v>
      </c>
      <c r="O280" s="45" t="s">
        <v>45</v>
      </c>
      <c r="P280" s="3" t="str">
        <f>Capacitors[[#This Row],[Footprint]]</f>
        <v>CAP-0805</v>
      </c>
    </row>
    <row r="281" spans="1:16" x14ac:dyDescent="0.25">
      <c r="A281" s="95">
        <f t="shared" si="8"/>
        <v>280</v>
      </c>
      <c r="B281" s="50" t="s">
        <v>859</v>
      </c>
      <c r="C281" s="174" t="str">
        <f t="shared" si="9"/>
        <v>CAP</v>
      </c>
      <c r="D28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50V 20% X7R FT 1206 STD</v>
      </c>
      <c r="E281" s="45" t="s">
        <v>900</v>
      </c>
      <c r="F281" s="45" t="s">
        <v>51</v>
      </c>
      <c r="G281" s="64" t="s">
        <v>125</v>
      </c>
      <c r="H281" s="49" t="s">
        <v>54</v>
      </c>
      <c r="I281" s="49" t="s">
        <v>904</v>
      </c>
      <c r="J281" s="12" t="s">
        <v>50</v>
      </c>
      <c r="K281" s="45" t="s">
        <v>996</v>
      </c>
      <c r="L281" s="45" t="s">
        <v>1269</v>
      </c>
      <c r="M281" s="86" t="s">
        <v>1561</v>
      </c>
      <c r="N281" s="46" t="s">
        <v>10</v>
      </c>
      <c r="O281" s="45" t="s">
        <v>45</v>
      </c>
      <c r="P281" s="3" t="str">
        <f>Capacitors[[#This Row],[Footprint]]</f>
        <v>CAP-1206</v>
      </c>
    </row>
    <row r="282" spans="1:16" x14ac:dyDescent="0.25">
      <c r="A282" s="95">
        <f t="shared" si="8"/>
        <v>281</v>
      </c>
      <c r="B282" s="50" t="s">
        <v>860</v>
      </c>
      <c r="C282" s="174" t="str">
        <f t="shared" si="9"/>
        <v>CAP</v>
      </c>
      <c r="D28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68pF 50V 10% X7R NFM 0603 STD</v>
      </c>
      <c r="E282" s="45" t="s">
        <v>1270</v>
      </c>
      <c r="F282" s="45" t="s">
        <v>51</v>
      </c>
      <c r="G282" s="64" t="s">
        <v>55</v>
      </c>
      <c r="H282" s="49" t="s">
        <v>54</v>
      </c>
      <c r="I282" s="49" t="s">
        <v>882</v>
      </c>
      <c r="J282" s="12" t="s">
        <v>46</v>
      </c>
      <c r="K282" s="45" t="s">
        <v>997</v>
      </c>
      <c r="L282" s="45" t="s">
        <v>37</v>
      </c>
      <c r="M282" s="86" t="s">
        <v>1561</v>
      </c>
      <c r="N282" s="46" t="s">
        <v>10</v>
      </c>
      <c r="O282" s="45" t="s">
        <v>45</v>
      </c>
      <c r="P282" s="3" t="str">
        <f>Capacitors[[#This Row],[Footprint]]</f>
        <v>CAP-0603</v>
      </c>
    </row>
    <row r="283" spans="1:16" x14ac:dyDescent="0.25">
      <c r="A283" s="95">
        <f t="shared" si="8"/>
        <v>282</v>
      </c>
      <c r="B283" s="50" t="s">
        <v>861</v>
      </c>
      <c r="C283" s="174" t="str">
        <f t="shared" si="9"/>
        <v>CAP</v>
      </c>
      <c r="D28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12nF 100V 5% X7R NFM 0603 AECQ</v>
      </c>
      <c r="E283" s="45" t="s">
        <v>1271</v>
      </c>
      <c r="F283" s="45" t="s">
        <v>57</v>
      </c>
      <c r="G283" s="64" t="s">
        <v>410</v>
      </c>
      <c r="H283" s="49" t="s">
        <v>54</v>
      </c>
      <c r="I283" s="49" t="s">
        <v>882</v>
      </c>
      <c r="J283" s="12" t="s">
        <v>46</v>
      </c>
      <c r="K283" s="45" t="s">
        <v>998</v>
      </c>
      <c r="L283" s="45" t="s">
        <v>913</v>
      </c>
      <c r="M283" s="5" t="s">
        <v>11</v>
      </c>
      <c r="N283" s="46" t="s">
        <v>10</v>
      </c>
      <c r="O283" s="45" t="s">
        <v>45</v>
      </c>
      <c r="P283" s="3" t="str">
        <f>Capacitors[[#This Row],[Footprint]]</f>
        <v>CAP-0603</v>
      </c>
    </row>
    <row r="284" spans="1:16" x14ac:dyDescent="0.25">
      <c r="A284" s="95">
        <f t="shared" si="8"/>
        <v>283</v>
      </c>
      <c r="B284" s="50" t="s">
        <v>862</v>
      </c>
      <c r="C284" s="174" t="str">
        <f t="shared" si="9"/>
        <v>CAP</v>
      </c>
      <c r="D28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470nF 50V 10% X7R NFM 0805 AECQ</v>
      </c>
      <c r="E284" s="45" t="s">
        <v>1272</v>
      </c>
      <c r="F284" s="45" t="s">
        <v>51</v>
      </c>
      <c r="G284" s="64" t="s">
        <v>55</v>
      </c>
      <c r="H284" s="49" t="s">
        <v>54</v>
      </c>
      <c r="I284" s="49" t="s">
        <v>882</v>
      </c>
      <c r="J284" s="12" t="s">
        <v>49</v>
      </c>
      <c r="K284" s="45" t="s">
        <v>1397</v>
      </c>
      <c r="L284" s="45" t="s">
        <v>32</v>
      </c>
      <c r="M284" s="5" t="s">
        <v>11</v>
      </c>
      <c r="N284" s="46" t="s">
        <v>10</v>
      </c>
      <c r="O284" s="45" t="s">
        <v>45</v>
      </c>
      <c r="P284" s="3" t="str">
        <f>Capacitors[[#This Row],[Footprint]]</f>
        <v>CAP-0805</v>
      </c>
    </row>
    <row r="285" spans="1:16" x14ac:dyDescent="0.25">
      <c r="A285" s="95">
        <f t="shared" si="8"/>
        <v>284</v>
      </c>
      <c r="B285" s="50" t="s">
        <v>863</v>
      </c>
      <c r="C285" s="174" t="str">
        <f t="shared" si="9"/>
        <v>CAP</v>
      </c>
      <c r="D28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4.7pF 100V 0.53% C0G NFM 0603 AECQ</v>
      </c>
      <c r="E285" s="45" t="s">
        <v>1273</v>
      </c>
      <c r="F285" s="45" t="s">
        <v>57</v>
      </c>
      <c r="G285" s="64" t="s">
        <v>1274</v>
      </c>
      <c r="H285" s="49" t="s">
        <v>889</v>
      </c>
      <c r="I285" s="49" t="s">
        <v>882</v>
      </c>
      <c r="J285" s="12" t="s">
        <v>46</v>
      </c>
      <c r="K285" s="45" t="s">
        <v>1398</v>
      </c>
      <c r="L285" s="45" t="s">
        <v>56</v>
      </c>
      <c r="M285" s="5" t="s">
        <v>11</v>
      </c>
      <c r="N285" s="46" t="s">
        <v>10</v>
      </c>
      <c r="O285" s="45" t="s">
        <v>45</v>
      </c>
      <c r="P285" s="3" t="str">
        <f>Capacitors[[#This Row],[Footprint]]</f>
        <v>CAP-0603</v>
      </c>
    </row>
    <row r="286" spans="1:16" x14ac:dyDescent="0.25">
      <c r="A286" s="95">
        <f t="shared" si="8"/>
        <v>285</v>
      </c>
      <c r="B286" s="14" t="s">
        <v>864</v>
      </c>
      <c r="C286" s="174" t="str">
        <f t="shared" si="9"/>
        <v>CAP</v>
      </c>
      <c r="D28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470nF 50V 10% X7R NFM 0805 AECQ</v>
      </c>
      <c r="E286" s="45" t="s">
        <v>1272</v>
      </c>
      <c r="F286" s="45" t="s">
        <v>51</v>
      </c>
      <c r="G286" s="64" t="s">
        <v>55</v>
      </c>
      <c r="H286" s="49" t="s">
        <v>54</v>
      </c>
      <c r="I286" s="49" t="s">
        <v>882</v>
      </c>
      <c r="J286" s="23" t="s">
        <v>49</v>
      </c>
      <c r="K286" s="45" t="s">
        <v>1399</v>
      </c>
      <c r="L286" s="45" t="s">
        <v>56</v>
      </c>
      <c r="M286" s="5" t="s">
        <v>11</v>
      </c>
      <c r="N286" s="46" t="s">
        <v>10</v>
      </c>
      <c r="O286" s="45" t="s">
        <v>45</v>
      </c>
      <c r="P286" s="3" t="str">
        <f>Capacitors[[#This Row],[Footprint]]</f>
        <v>CAP-0805</v>
      </c>
    </row>
    <row r="287" spans="1:16" x14ac:dyDescent="0.25">
      <c r="A287" s="95">
        <f t="shared" si="8"/>
        <v>286</v>
      </c>
      <c r="B287" s="14" t="s">
        <v>864</v>
      </c>
      <c r="C287" s="174" t="str">
        <f t="shared" si="9"/>
        <v>CAP</v>
      </c>
      <c r="D28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470nF 50V 10% X7R NFM 0603 AECQ</v>
      </c>
      <c r="E287" s="45" t="s">
        <v>1272</v>
      </c>
      <c r="F287" s="45" t="s">
        <v>51</v>
      </c>
      <c r="G287" s="64" t="s">
        <v>55</v>
      </c>
      <c r="H287" s="49" t="s">
        <v>54</v>
      </c>
      <c r="I287" s="49" t="s">
        <v>882</v>
      </c>
      <c r="J287" s="23" t="s">
        <v>46</v>
      </c>
      <c r="K287" s="45" t="s">
        <v>999</v>
      </c>
      <c r="L287" s="45" t="s">
        <v>53</v>
      </c>
      <c r="M287" s="5" t="s">
        <v>11</v>
      </c>
      <c r="N287" s="46" t="s">
        <v>10</v>
      </c>
      <c r="O287" s="45" t="s">
        <v>45</v>
      </c>
      <c r="P287" s="3" t="str">
        <f>Capacitors[[#This Row],[Footprint]]</f>
        <v>CAP-0603</v>
      </c>
    </row>
    <row r="288" spans="1:16" x14ac:dyDescent="0.25">
      <c r="A288" s="95">
        <f t="shared" si="8"/>
        <v>287</v>
      </c>
      <c r="B288" s="119" t="s">
        <v>865</v>
      </c>
      <c r="C288" s="174" t="str">
        <f t="shared" si="9"/>
        <v>CAP</v>
      </c>
      <c r="D28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X7R ST 0805 AECQ</v>
      </c>
      <c r="E288" s="45" t="s">
        <v>896</v>
      </c>
      <c r="F288" s="45" t="s">
        <v>51</v>
      </c>
      <c r="G288" s="64" t="s">
        <v>55</v>
      </c>
      <c r="H288" s="77" t="s">
        <v>54</v>
      </c>
      <c r="I288" s="77" t="s">
        <v>884</v>
      </c>
      <c r="J288" s="12" t="s">
        <v>49</v>
      </c>
      <c r="K288" s="45" t="s">
        <v>1372</v>
      </c>
      <c r="L288" s="45" t="s">
        <v>53</v>
      </c>
      <c r="M288" s="5" t="s">
        <v>11</v>
      </c>
      <c r="N288" s="46" t="s">
        <v>10</v>
      </c>
      <c r="O288" s="45" t="s">
        <v>45</v>
      </c>
      <c r="P288" s="3" t="str">
        <f>Capacitors[[#This Row],[Footprint]]</f>
        <v>CAP-0805</v>
      </c>
    </row>
    <row r="289" spans="1:16" x14ac:dyDescent="0.25">
      <c r="A289" s="95">
        <f t="shared" si="8"/>
        <v>288</v>
      </c>
      <c r="B289" s="119" t="s">
        <v>865</v>
      </c>
      <c r="C289" s="174" t="str">
        <f t="shared" si="9"/>
        <v>CAP</v>
      </c>
      <c r="D28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X7S NFM 0805 AECQ</v>
      </c>
      <c r="E289" s="45" t="s">
        <v>896</v>
      </c>
      <c r="F289" s="45" t="s">
        <v>51</v>
      </c>
      <c r="G289" s="64" t="s">
        <v>55</v>
      </c>
      <c r="H289" s="77" t="s">
        <v>886</v>
      </c>
      <c r="I289" s="77" t="s">
        <v>882</v>
      </c>
      <c r="J289" s="12" t="s">
        <v>49</v>
      </c>
      <c r="K289" s="45" t="s">
        <v>1000</v>
      </c>
      <c r="L289" s="45" t="s">
        <v>56</v>
      </c>
      <c r="M289" s="5" t="s">
        <v>11</v>
      </c>
      <c r="N289" s="46" t="s">
        <v>10</v>
      </c>
      <c r="O289" s="45" t="s">
        <v>45</v>
      </c>
      <c r="P289" s="3" t="str">
        <f>Capacitors[[#This Row],[Footprint]]</f>
        <v>CAP-0805</v>
      </c>
    </row>
    <row r="290" spans="1:16" x14ac:dyDescent="0.25">
      <c r="A290" s="95">
        <f t="shared" si="8"/>
        <v>289</v>
      </c>
      <c r="B290" s="119" t="s">
        <v>865</v>
      </c>
      <c r="C290" s="174" t="str">
        <f t="shared" si="9"/>
        <v>CAP</v>
      </c>
      <c r="D29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X7S NFM 0805 AECQ</v>
      </c>
      <c r="E290" s="45" t="s">
        <v>896</v>
      </c>
      <c r="F290" s="45" t="s">
        <v>51</v>
      </c>
      <c r="G290" s="64" t="s">
        <v>55</v>
      </c>
      <c r="H290" s="77" t="s">
        <v>886</v>
      </c>
      <c r="I290" s="77" t="s">
        <v>882</v>
      </c>
      <c r="J290" s="12" t="s">
        <v>49</v>
      </c>
      <c r="K290" s="45" t="s">
        <v>1400</v>
      </c>
      <c r="L290" s="45" t="s">
        <v>32</v>
      </c>
      <c r="M290" s="5" t="s">
        <v>11</v>
      </c>
      <c r="N290" s="46" t="s">
        <v>10</v>
      </c>
      <c r="O290" s="45" t="s">
        <v>45</v>
      </c>
      <c r="P290" s="3" t="str">
        <f>Capacitors[[#This Row],[Footprint]]</f>
        <v>CAP-0805</v>
      </c>
    </row>
    <row r="291" spans="1:16" x14ac:dyDescent="0.25">
      <c r="A291" s="95">
        <f t="shared" si="8"/>
        <v>290</v>
      </c>
      <c r="B291" s="119" t="s">
        <v>865</v>
      </c>
      <c r="C291" s="174" t="str">
        <f t="shared" si="9"/>
        <v>CAP</v>
      </c>
      <c r="D29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X5R NFM 0805 AECQ</v>
      </c>
      <c r="E291" s="45" t="s">
        <v>896</v>
      </c>
      <c r="F291" s="45" t="s">
        <v>51</v>
      </c>
      <c r="G291" s="64" t="s">
        <v>55</v>
      </c>
      <c r="H291" s="77" t="s">
        <v>903</v>
      </c>
      <c r="I291" s="77" t="s">
        <v>882</v>
      </c>
      <c r="J291" s="12" t="s">
        <v>49</v>
      </c>
      <c r="K291" s="45" t="s">
        <v>1401</v>
      </c>
      <c r="L291" s="45" t="s">
        <v>56</v>
      </c>
      <c r="M291" s="5" t="s">
        <v>11</v>
      </c>
      <c r="N291" s="46" t="s">
        <v>10</v>
      </c>
      <c r="O291" s="45" t="s">
        <v>45</v>
      </c>
      <c r="P291" s="3" t="str">
        <f>Capacitors[[#This Row],[Footprint]]</f>
        <v>CAP-0805</v>
      </c>
    </row>
    <row r="292" spans="1:16" x14ac:dyDescent="0.25">
      <c r="A292" s="95">
        <f t="shared" si="8"/>
        <v>291</v>
      </c>
      <c r="B292" s="50" t="s">
        <v>866</v>
      </c>
      <c r="C292" s="174" t="str">
        <f t="shared" si="9"/>
        <v>CAP</v>
      </c>
      <c r="D29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470nF 50V 10% X7R NFM 0805 AECQ</v>
      </c>
      <c r="E292" s="45" t="s">
        <v>1272</v>
      </c>
      <c r="F292" s="45" t="s">
        <v>51</v>
      </c>
      <c r="G292" s="64" t="s">
        <v>55</v>
      </c>
      <c r="H292" s="49" t="s">
        <v>54</v>
      </c>
      <c r="I292" s="49" t="s">
        <v>882</v>
      </c>
      <c r="J292" s="12" t="s">
        <v>49</v>
      </c>
      <c r="K292" s="45" t="s">
        <v>1397</v>
      </c>
      <c r="L292" s="45" t="s">
        <v>32</v>
      </c>
      <c r="M292" s="5" t="s">
        <v>11</v>
      </c>
      <c r="N292" s="46" t="s">
        <v>10</v>
      </c>
      <c r="O292" s="45" t="s">
        <v>45</v>
      </c>
      <c r="P292" s="3" t="str">
        <f>Capacitors[[#This Row],[Footprint]]</f>
        <v>CAP-0805</v>
      </c>
    </row>
    <row r="293" spans="1:16" x14ac:dyDescent="0.25">
      <c r="A293" s="95">
        <f t="shared" si="8"/>
        <v>292</v>
      </c>
      <c r="B293" s="50" t="s">
        <v>867</v>
      </c>
      <c r="C293" s="174" t="str">
        <f t="shared" si="9"/>
        <v>CAP</v>
      </c>
      <c r="D29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5.6nF 50V 5% C0G NFM 0603 AECQ</v>
      </c>
      <c r="E293" s="45" t="s">
        <v>1265</v>
      </c>
      <c r="F293" s="45" t="s">
        <v>51</v>
      </c>
      <c r="G293" s="64" t="s">
        <v>410</v>
      </c>
      <c r="H293" s="49" t="s">
        <v>889</v>
      </c>
      <c r="I293" s="49" t="s">
        <v>882</v>
      </c>
      <c r="J293" s="12" t="s">
        <v>46</v>
      </c>
      <c r="K293" s="45" t="s">
        <v>1001</v>
      </c>
      <c r="L293" s="45" t="s">
        <v>913</v>
      </c>
      <c r="M293" s="5" t="s">
        <v>11</v>
      </c>
      <c r="N293" s="46" t="s">
        <v>10</v>
      </c>
      <c r="O293" s="45" t="s">
        <v>45</v>
      </c>
      <c r="P293" s="3" t="str">
        <f>Capacitors[[#This Row],[Footprint]]</f>
        <v>CAP-0603</v>
      </c>
    </row>
    <row r="294" spans="1:16" x14ac:dyDescent="0.25">
      <c r="A294" s="95">
        <f t="shared" si="8"/>
        <v>293</v>
      </c>
      <c r="B294" s="50" t="s">
        <v>868</v>
      </c>
      <c r="C294" s="174" t="str">
        <f t="shared" si="9"/>
        <v>CAP</v>
      </c>
      <c r="D29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2.7nF 50V 5% C0G NFM 0603 AECQ</v>
      </c>
      <c r="E294" s="45" t="s">
        <v>1275</v>
      </c>
      <c r="F294" s="45" t="s">
        <v>51</v>
      </c>
      <c r="G294" s="64" t="s">
        <v>410</v>
      </c>
      <c r="H294" s="49" t="s">
        <v>889</v>
      </c>
      <c r="I294" s="49" t="s">
        <v>882</v>
      </c>
      <c r="J294" s="12" t="s">
        <v>46</v>
      </c>
      <c r="K294" s="45" t="s">
        <v>1402</v>
      </c>
      <c r="L294" s="45" t="s">
        <v>56</v>
      </c>
      <c r="M294" s="5" t="s">
        <v>11</v>
      </c>
      <c r="N294" s="46" t="s">
        <v>10</v>
      </c>
      <c r="O294" s="45" t="s">
        <v>45</v>
      </c>
      <c r="P294" s="3" t="str">
        <f>Capacitors[[#This Row],[Footprint]]</f>
        <v>CAP-0603</v>
      </c>
    </row>
    <row r="295" spans="1:16" x14ac:dyDescent="0.25">
      <c r="A295" s="95">
        <f t="shared" si="8"/>
        <v>294</v>
      </c>
      <c r="B295" s="50" t="s">
        <v>869</v>
      </c>
      <c r="C295" s="174" t="str">
        <f t="shared" si="9"/>
        <v>CAP</v>
      </c>
      <c r="D29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47nF 50V 10% X7R NFM 1206 AECQ</v>
      </c>
      <c r="E295" s="45" t="s">
        <v>890</v>
      </c>
      <c r="F295" s="45" t="s">
        <v>51</v>
      </c>
      <c r="G295" s="64" t="s">
        <v>55</v>
      </c>
      <c r="H295" s="49" t="s">
        <v>54</v>
      </c>
      <c r="I295" s="49" t="s">
        <v>882</v>
      </c>
      <c r="J295" s="12" t="s">
        <v>50</v>
      </c>
      <c r="K295" s="45" t="s">
        <v>1002</v>
      </c>
      <c r="L295" s="45" t="s">
        <v>913</v>
      </c>
      <c r="M295" s="5" t="s">
        <v>11</v>
      </c>
      <c r="N295" s="46" t="s">
        <v>10</v>
      </c>
      <c r="O295" s="45" t="s">
        <v>45</v>
      </c>
      <c r="P295" s="3" t="str">
        <f>Capacitors[[#This Row],[Footprint]]</f>
        <v>CAP-1206</v>
      </c>
    </row>
    <row r="296" spans="1:16" x14ac:dyDescent="0.25">
      <c r="A296" s="95">
        <f t="shared" si="8"/>
        <v>295</v>
      </c>
      <c r="B296" s="50" t="s">
        <v>870</v>
      </c>
      <c r="C296" s="174" t="str">
        <f t="shared" si="9"/>
        <v>CAP</v>
      </c>
      <c r="D29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0402 AECQ</v>
      </c>
      <c r="E296" s="45" t="s">
        <v>61</v>
      </c>
      <c r="F296" s="45" t="s">
        <v>51</v>
      </c>
      <c r="G296" s="64" t="s">
        <v>55</v>
      </c>
      <c r="H296" s="49" t="s">
        <v>54</v>
      </c>
      <c r="I296" s="49" t="s">
        <v>882</v>
      </c>
      <c r="J296" s="12" t="s">
        <v>48</v>
      </c>
      <c r="K296" s="45" t="s">
        <v>1403</v>
      </c>
      <c r="L296" s="45" t="s">
        <v>32</v>
      </c>
      <c r="M296" s="5" t="s">
        <v>11</v>
      </c>
      <c r="N296" s="46" t="s">
        <v>10</v>
      </c>
      <c r="O296" s="45" t="s">
        <v>45</v>
      </c>
      <c r="P296" s="3" t="str">
        <f>Capacitors[[#This Row],[Footprint]]</f>
        <v>CAP-0402</v>
      </c>
    </row>
    <row r="297" spans="1:16" x14ac:dyDescent="0.25">
      <c r="A297" s="95">
        <f t="shared" si="8"/>
        <v>296</v>
      </c>
      <c r="B297" s="50" t="s">
        <v>871</v>
      </c>
      <c r="C297" s="174" t="str">
        <f t="shared" si="9"/>
        <v>CAP</v>
      </c>
      <c r="D29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47pF 50V 10% X8R NFM 0603 AECQ</v>
      </c>
      <c r="E297" s="45" t="s">
        <v>1267</v>
      </c>
      <c r="F297" s="45" t="s">
        <v>51</v>
      </c>
      <c r="G297" s="64" t="s">
        <v>55</v>
      </c>
      <c r="H297" s="49" t="s">
        <v>905</v>
      </c>
      <c r="I297" s="49" t="s">
        <v>882</v>
      </c>
      <c r="J297" s="12" t="s">
        <v>46</v>
      </c>
      <c r="K297" s="45" t="s">
        <v>1003</v>
      </c>
      <c r="L297" s="45" t="s">
        <v>913</v>
      </c>
      <c r="M297" s="5" t="s">
        <v>11</v>
      </c>
      <c r="N297" s="46" t="s">
        <v>10</v>
      </c>
      <c r="O297" s="45" t="s">
        <v>45</v>
      </c>
      <c r="P297" s="3" t="str">
        <f>Capacitors[[#This Row],[Footprint]]</f>
        <v>CAP-0603</v>
      </c>
    </row>
    <row r="298" spans="1:16" x14ac:dyDescent="0.25">
      <c r="A298" s="95">
        <f t="shared" si="8"/>
        <v>297</v>
      </c>
      <c r="B298" s="50" t="s">
        <v>872</v>
      </c>
      <c r="C298" s="174" t="str">
        <f t="shared" si="9"/>
        <v>CAP</v>
      </c>
      <c r="D29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20% X7R ST 0805 AECQ</v>
      </c>
      <c r="E298" s="45" t="s">
        <v>885</v>
      </c>
      <c r="F298" s="45" t="s">
        <v>51</v>
      </c>
      <c r="G298" s="170" t="s">
        <v>125</v>
      </c>
      <c r="H298" s="49" t="s">
        <v>54</v>
      </c>
      <c r="I298" s="49" t="s">
        <v>884</v>
      </c>
      <c r="J298" s="12" t="s">
        <v>49</v>
      </c>
      <c r="K298" s="45" t="s">
        <v>951</v>
      </c>
      <c r="L298" s="45" t="s">
        <v>53</v>
      </c>
      <c r="M298" s="5" t="s">
        <v>11</v>
      </c>
      <c r="N298" s="46" t="s">
        <v>10</v>
      </c>
      <c r="O298" s="45" t="s">
        <v>45</v>
      </c>
      <c r="P298" s="3" t="str">
        <f>Capacitors[[#This Row],[Footprint]]</f>
        <v>CAP-0805</v>
      </c>
    </row>
    <row r="299" spans="1:16" x14ac:dyDescent="0.25">
      <c r="A299" s="95">
        <f t="shared" si="8"/>
        <v>298</v>
      </c>
      <c r="B299" s="14" t="s">
        <v>873</v>
      </c>
      <c r="C299" s="174" t="str">
        <f t="shared" si="9"/>
        <v>CAP</v>
      </c>
      <c r="D29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100V 10% X7R FT 0805 STD</v>
      </c>
      <c r="E299" s="45" t="s">
        <v>900</v>
      </c>
      <c r="F299" s="45" t="s">
        <v>57</v>
      </c>
      <c r="G299" s="64" t="s">
        <v>55</v>
      </c>
      <c r="H299" s="49" t="s">
        <v>54</v>
      </c>
      <c r="I299" s="49" t="s">
        <v>904</v>
      </c>
      <c r="J299" s="12" t="s">
        <v>49</v>
      </c>
      <c r="K299" s="45" t="s">
        <v>1404</v>
      </c>
      <c r="L299" s="45" t="s">
        <v>913</v>
      </c>
      <c r="M299" s="15" t="s">
        <v>1561</v>
      </c>
      <c r="N299" s="46" t="s">
        <v>10</v>
      </c>
      <c r="O299" s="45" t="s">
        <v>45</v>
      </c>
      <c r="P299" s="3" t="str">
        <f>Capacitors[[#This Row],[Footprint]]</f>
        <v>CAP-0805</v>
      </c>
    </row>
    <row r="300" spans="1:16" x14ac:dyDescent="0.25">
      <c r="A300" s="95">
        <f t="shared" si="8"/>
        <v>299</v>
      </c>
      <c r="B300" s="14" t="s">
        <v>873</v>
      </c>
      <c r="C300" s="174" t="str">
        <f t="shared" si="9"/>
        <v>CAP</v>
      </c>
      <c r="D30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220nF 100V 10% X7R FT 0805 AECQ</v>
      </c>
      <c r="E300" s="45" t="s">
        <v>900</v>
      </c>
      <c r="F300" s="45" t="s">
        <v>57</v>
      </c>
      <c r="G300" s="64" t="s">
        <v>55</v>
      </c>
      <c r="H300" s="49" t="s">
        <v>54</v>
      </c>
      <c r="I300" s="49" t="s">
        <v>904</v>
      </c>
      <c r="J300" s="12" t="s">
        <v>49</v>
      </c>
      <c r="K300" s="45" t="s">
        <v>1405</v>
      </c>
      <c r="L300" s="45" t="s">
        <v>37</v>
      </c>
      <c r="M300" s="15" t="s">
        <v>11</v>
      </c>
      <c r="N300" s="46" t="s">
        <v>10</v>
      </c>
      <c r="O300" s="45" t="s">
        <v>45</v>
      </c>
      <c r="P300" s="3" t="str">
        <f>Capacitors[[#This Row],[Footprint]]</f>
        <v>CAP-0805</v>
      </c>
    </row>
    <row r="301" spans="1:16" x14ac:dyDescent="0.25">
      <c r="A301" s="95">
        <f t="shared" si="8"/>
        <v>300</v>
      </c>
      <c r="B301" s="50" t="s">
        <v>874</v>
      </c>
      <c r="C301" s="174" t="str">
        <f t="shared" si="9"/>
        <v>CAP</v>
      </c>
      <c r="D30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100nF 100V 10% X7R OM 0805 AECQ</v>
      </c>
      <c r="E301" s="45" t="s">
        <v>59</v>
      </c>
      <c r="F301" s="45" t="s">
        <v>57</v>
      </c>
      <c r="G301" s="64" t="s">
        <v>55</v>
      </c>
      <c r="H301" s="49" t="s">
        <v>54</v>
      </c>
      <c r="I301" s="49" t="s">
        <v>883</v>
      </c>
      <c r="J301" s="12" t="s">
        <v>49</v>
      </c>
      <c r="K301" s="45" t="s">
        <v>1291</v>
      </c>
      <c r="L301" s="45" t="s">
        <v>32</v>
      </c>
      <c r="M301" s="5" t="s">
        <v>11</v>
      </c>
      <c r="N301" s="46" t="s">
        <v>10</v>
      </c>
      <c r="O301" s="45" t="s">
        <v>45</v>
      </c>
      <c r="P301" s="3" t="str">
        <f>Capacitors[[#This Row],[Footprint]]</f>
        <v>CAP-0805</v>
      </c>
    </row>
    <row r="302" spans="1:16" x14ac:dyDescent="0.25">
      <c r="A302" s="95">
        <f t="shared" si="8"/>
        <v>301</v>
      </c>
      <c r="B302" s="14" t="s">
        <v>875</v>
      </c>
      <c r="C302" s="174" t="str">
        <f t="shared" si="9"/>
        <v>CAP</v>
      </c>
      <c r="D302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470nF 100V 10% X7R NFM 0805 AECQ</v>
      </c>
      <c r="E302" s="45" t="s">
        <v>1272</v>
      </c>
      <c r="F302" s="45" t="s">
        <v>57</v>
      </c>
      <c r="G302" s="64" t="s">
        <v>55</v>
      </c>
      <c r="H302" s="49" t="s">
        <v>54</v>
      </c>
      <c r="I302" s="66" t="s">
        <v>882</v>
      </c>
      <c r="J302" s="12" t="s">
        <v>49</v>
      </c>
      <c r="K302" s="45" t="s">
        <v>1406</v>
      </c>
      <c r="L302" s="45" t="s">
        <v>37</v>
      </c>
      <c r="M302" s="5" t="s">
        <v>11</v>
      </c>
      <c r="N302" s="46" t="s">
        <v>10</v>
      </c>
      <c r="O302" s="45" t="s">
        <v>45</v>
      </c>
      <c r="P302" s="3" t="str">
        <f>Capacitors[[#This Row],[Footprint]]</f>
        <v>CAP-0805</v>
      </c>
    </row>
    <row r="303" spans="1:16" x14ac:dyDescent="0.25">
      <c r="A303" s="95">
        <f t="shared" si="8"/>
        <v>302</v>
      </c>
      <c r="B303" s="14" t="s">
        <v>875</v>
      </c>
      <c r="C303" s="174" t="str">
        <f t="shared" si="9"/>
        <v>CAP</v>
      </c>
      <c r="D303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470nF 100V 10% X7R FT 0805 AECQ</v>
      </c>
      <c r="E303" s="45" t="s">
        <v>1272</v>
      </c>
      <c r="F303" s="45" t="s">
        <v>57</v>
      </c>
      <c r="G303" s="64" t="s">
        <v>55</v>
      </c>
      <c r="H303" s="49" t="s">
        <v>54</v>
      </c>
      <c r="I303" s="66" t="s">
        <v>904</v>
      </c>
      <c r="J303" s="12" t="s">
        <v>49</v>
      </c>
      <c r="K303" s="45" t="s">
        <v>1004</v>
      </c>
      <c r="L303" s="45" t="s">
        <v>37</v>
      </c>
      <c r="M303" s="5" t="s">
        <v>11</v>
      </c>
      <c r="N303" s="46" t="s">
        <v>10</v>
      </c>
      <c r="O303" s="45" t="s">
        <v>45</v>
      </c>
      <c r="P303" s="3" t="str">
        <f>Capacitors[[#This Row],[Footprint]]</f>
        <v>CAP-0805</v>
      </c>
    </row>
    <row r="304" spans="1:16" x14ac:dyDescent="0.25">
      <c r="A304" s="95">
        <f t="shared" si="8"/>
        <v>303</v>
      </c>
      <c r="B304" s="119" t="s">
        <v>876</v>
      </c>
      <c r="C304" s="174" t="str">
        <f t="shared" si="9"/>
        <v>CAP</v>
      </c>
      <c r="D304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330pF 50V 5% C0G NFM 0805 AECQ</v>
      </c>
      <c r="E304" s="45" t="s">
        <v>1276</v>
      </c>
      <c r="F304" s="45" t="s">
        <v>51</v>
      </c>
      <c r="G304" s="64" t="s">
        <v>410</v>
      </c>
      <c r="H304" s="77" t="s">
        <v>889</v>
      </c>
      <c r="I304" s="49" t="s">
        <v>882</v>
      </c>
      <c r="J304" s="12" t="s">
        <v>49</v>
      </c>
      <c r="K304" s="45" t="s">
        <v>1407</v>
      </c>
      <c r="L304" s="45" t="s">
        <v>32</v>
      </c>
      <c r="M304" s="5" t="s">
        <v>11</v>
      </c>
      <c r="N304" s="46" t="s">
        <v>10</v>
      </c>
      <c r="O304" s="45" t="s">
        <v>45</v>
      </c>
      <c r="P304" s="3" t="str">
        <f>Capacitors[[#This Row],[Footprint]]</f>
        <v>CAP-0805</v>
      </c>
    </row>
    <row r="305" spans="1:16" x14ac:dyDescent="0.25">
      <c r="A305" s="95">
        <f t="shared" si="8"/>
        <v>304</v>
      </c>
      <c r="B305" s="119" t="s">
        <v>876</v>
      </c>
      <c r="C305" s="174" t="str">
        <f t="shared" si="9"/>
        <v>CAP</v>
      </c>
      <c r="D305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330pF 50V 5% NP0  NFM 0805 AECQ</v>
      </c>
      <c r="E305" s="45" t="s">
        <v>1276</v>
      </c>
      <c r="F305" s="45" t="s">
        <v>51</v>
      </c>
      <c r="G305" s="64" t="s">
        <v>410</v>
      </c>
      <c r="H305" s="77" t="s">
        <v>1268</v>
      </c>
      <c r="I305" s="49" t="s">
        <v>882</v>
      </c>
      <c r="J305" s="12" t="s">
        <v>49</v>
      </c>
      <c r="K305" s="45" t="s">
        <v>1005</v>
      </c>
      <c r="L305" s="45" t="s">
        <v>36</v>
      </c>
      <c r="M305" s="5" t="s">
        <v>11</v>
      </c>
      <c r="N305" s="46" t="s">
        <v>10</v>
      </c>
      <c r="O305" s="45" t="s">
        <v>45</v>
      </c>
      <c r="P305" s="3" t="str">
        <f>Capacitors[[#This Row],[Footprint]]</f>
        <v>CAP-0805</v>
      </c>
    </row>
    <row r="306" spans="1:16" x14ac:dyDescent="0.25">
      <c r="A306" s="95">
        <f t="shared" si="8"/>
        <v>305</v>
      </c>
      <c r="B306" s="119" t="s">
        <v>876</v>
      </c>
      <c r="C306" s="174" t="str">
        <f t="shared" si="9"/>
        <v>CAP</v>
      </c>
      <c r="D306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330pF 50V 5% C0G NFM 0805 AECQ</v>
      </c>
      <c r="E306" s="45" t="s">
        <v>1276</v>
      </c>
      <c r="F306" s="45" t="s">
        <v>51</v>
      </c>
      <c r="G306" s="64" t="s">
        <v>410</v>
      </c>
      <c r="H306" s="77" t="s">
        <v>889</v>
      </c>
      <c r="I306" s="49" t="s">
        <v>882</v>
      </c>
      <c r="J306" s="12" t="s">
        <v>49</v>
      </c>
      <c r="K306" s="45" t="s">
        <v>1006</v>
      </c>
      <c r="L306" s="45" t="s">
        <v>913</v>
      </c>
      <c r="M306" s="5" t="s">
        <v>11</v>
      </c>
      <c r="N306" s="46" t="s">
        <v>10</v>
      </c>
      <c r="O306" s="45" t="s">
        <v>45</v>
      </c>
      <c r="P306" s="3" t="str">
        <f>Capacitors[[#This Row],[Footprint]]</f>
        <v>CAP-0805</v>
      </c>
    </row>
    <row r="307" spans="1:16" x14ac:dyDescent="0.25">
      <c r="A307" s="95">
        <f t="shared" si="8"/>
        <v>306</v>
      </c>
      <c r="B307" s="50" t="s">
        <v>877</v>
      </c>
      <c r="C307" s="174" t="str">
        <f t="shared" si="9"/>
        <v>CAP</v>
      </c>
      <c r="D307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4.7uF 50V 10% X7R ST 1206 AECQ</v>
      </c>
      <c r="E307" s="45" t="s">
        <v>896</v>
      </c>
      <c r="F307" s="45" t="s">
        <v>51</v>
      </c>
      <c r="G307" s="64" t="s">
        <v>55</v>
      </c>
      <c r="H307" s="49" t="s">
        <v>54</v>
      </c>
      <c r="I307" s="49" t="s">
        <v>884</v>
      </c>
      <c r="J307" s="12" t="s">
        <v>50</v>
      </c>
      <c r="K307" s="45" t="s">
        <v>1007</v>
      </c>
      <c r="L307" s="45" t="s">
        <v>53</v>
      </c>
      <c r="M307" s="5" t="s">
        <v>11</v>
      </c>
      <c r="N307" s="46" t="s">
        <v>10</v>
      </c>
      <c r="O307" s="45" t="s">
        <v>45</v>
      </c>
      <c r="P307" s="3" t="str">
        <f>Capacitors[[#This Row],[Footprint]]</f>
        <v>CAP-1206</v>
      </c>
    </row>
    <row r="308" spans="1:16" x14ac:dyDescent="0.25">
      <c r="A308" s="95">
        <f t="shared" si="8"/>
        <v>307</v>
      </c>
      <c r="B308" s="14" t="s">
        <v>878</v>
      </c>
      <c r="C308" s="174" t="str">
        <f t="shared" si="9"/>
        <v>CAP</v>
      </c>
      <c r="D308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X7T NFM 0603 AECQ</v>
      </c>
      <c r="E308" s="45" t="s">
        <v>885</v>
      </c>
      <c r="F308" s="45" t="s">
        <v>51</v>
      </c>
      <c r="G308" s="64" t="s">
        <v>55</v>
      </c>
      <c r="H308" s="66" t="s">
        <v>1277</v>
      </c>
      <c r="I308" s="49" t="s">
        <v>882</v>
      </c>
      <c r="J308" s="12" t="s">
        <v>46</v>
      </c>
      <c r="K308" s="45" t="s">
        <v>1408</v>
      </c>
      <c r="L308" s="45" t="s">
        <v>56</v>
      </c>
      <c r="M308" s="5" t="s">
        <v>11</v>
      </c>
      <c r="N308" s="46" t="s">
        <v>10</v>
      </c>
      <c r="O308" s="45" t="s">
        <v>45</v>
      </c>
      <c r="P308" s="3" t="str">
        <f>Capacitors[[#This Row],[Footprint]]</f>
        <v>CAP-0603</v>
      </c>
    </row>
    <row r="309" spans="1:16" x14ac:dyDescent="0.25">
      <c r="A309" s="95">
        <f t="shared" si="8"/>
        <v>308</v>
      </c>
      <c r="B309" s="14" t="s">
        <v>878</v>
      </c>
      <c r="C309" s="174" t="str">
        <f t="shared" si="9"/>
        <v>CAP</v>
      </c>
      <c r="D309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1uF 50V 10% X7R NFM 0603 AECQ</v>
      </c>
      <c r="E309" s="45" t="s">
        <v>885</v>
      </c>
      <c r="F309" s="45" t="s">
        <v>51</v>
      </c>
      <c r="G309" s="64" t="s">
        <v>55</v>
      </c>
      <c r="H309" s="66" t="s">
        <v>54</v>
      </c>
      <c r="I309" s="49" t="s">
        <v>882</v>
      </c>
      <c r="J309" s="12" t="s">
        <v>46</v>
      </c>
      <c r="K309" s="45" t="s">
        <v>1008</v>
      </c>
      <c r="L309" s="45" t="s">
        <v>32</v>
      </c>
      <c r="M309" s="5" t="s">
        <v>11</v>
      </c>
      <c r="N309" s="46" t="s">
        <v>10</v>
      </c>
      <c r="O309" s="45" t="s">
        <v>45</v>
      </c>
      <c r="P309" s="3" t="str">
        <f>Capacitors[[#This Row],[Footprint]]</f>
        <v>CAP-0603</v>
      </c>
    </row>
    <row r="310" spans="1:16" x14ac:dyDescent="0.25">
      <c r="A310" s="95">
        <f t="shared" si="8"/>
        <v>309</v>
      </c>
      <c r="B310" s="50" t="s">
        <v>879</v>
      </c>
      <c r="C310" s="174" t="str">
        <f t="shared" si="9"/>
        <v>CAP</v>
      </c>
      <c r="D310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2.2uF 50V 10% X7R ST 0805 AECQ</v>
      </c>
      <c r="E310" s="45" t="s">
        <v>898</v>
      </c>
      <c r="F310" s="45" t="s">
        <v>51</v>
      </c>
      <c r="G310" s="64" t="s">
        <v>55</v>
      </c>
      <c r="H310" s="49" t="s">
        <v>54</v>
      </c>
      <c r="I310" s="49" t="s">
        <v>884</v>
      </c>
      <c r="J310" s="12" t="s">
        <v>49</v>
      </c>
      <c r="K310" s="45" t="s">
        <v>1009</v>
      </c>
      <c r="L310" s="45" t="s">
        <v>53</v>
      </c>
      <c r="M310" s="5" t="s">
        <v>11</v>
      </c>
      <c r="N310" s="46" t="s">
        <v>10</v>
      </c>
      <c r="O310" s="45" t="s">
        <v>45</v>
      </c>
      <c r="P310" s="3" t="str">
        <f>Capacitors[[#This Row],[Footprint]]</f>
        <v>CAP-0805</v>
      </c>
    </row>
    <row r="311" spans="1:16" x14ac:dyDescent="0.25">
      <c r="A311" s="95">
        <f t="shared" si="8"/>
        <v>310</v>
      </c>
      <c r="B311" s="50" t="s">
        <v>880</v>
      </c>
      <c r="C311" s="174" t="str">
        <f t="shared" si="9"/>
        <v>CAP</v>
      </c>
      <c r="D311" s="6" t="str">
        <f>CONCATENATE(Capacitors[[#This Row],[Category]]," ",Capacitors[[#This Row],[Capacitance(F)]]," ",Capacitors[[#This Row],[Voltage(V)]]," ",Capacitors[[#This Row],[Tolerance(%)]]," ",Capacitors[[#This Row],[Temperature Coefficient]]," ",Capacitors[[#This Row],[Failure Mode]]," ",SUBSTITUTE(Capacitors[[#This Row],[Footprint]], "CAP-", "")," ",Capacitors[[#This Row],[Rating]])</f>
        <v>CAP 4.7nF 50V 10% X7R NFM 0805 AECQ</v>
      </c>
      <c r="E311" s="45" t="s">
        <v>61</v>
      </c>
      <c r="F311" s="45" t="s">
        <v>51</v>
      </c>
      <c r="G311" s="64" t="s">
        <v>55</v>
      </c>
      <c r="H311" s="49" t="s">
        <v>54</v>
      </c>
      <c r="I311" s="49" t="s">
        <v>882</v>
      </c>
      <c r="J311" s="12" t="s">
        <v>49</v>
      </c>
      <c r="K311" s="45" t="s">
        <v>60</v>
      </c>
      <c r="L311" s="45" t="s">
        <v>37</v>
      </c>
      <c r="M311" s="5" t="s">
        <v>11</v>
      </c>
      <c r="N311" s="46" t="s">
        <v>10</v>
      </c>
      <c r="O311" s="45" t="s">
        <v>45</v>
      </c>
      <c r="P311" s="3" t="str">
        <f>Capacitors[[#This Row],[Footprint]]</f>
        <v>CAP-0805</v>
      </c>
    </row>
  </sheetData>
  <sheetProtection formatCells="0" formatRows="0"/>
  <mergeCells count="3">
    <mergeCell ref="Q27:Q28"/>
    <mergeCell ref="Q29:Q31"/>
    <mergeCell ref="Q53:Q56"/>
  </mergeCells>
  <dataValidations count="5">
    <dataValidation type="list" allowBlank="1" showInputMessage="1" showErrorMessage="1" sqref="L2:L311">
      <formula1>Manufacturers_Capacitors</formula1>
    </dataValidation>
    <dataValidation type="list" allowBlank="1" showInputMessage="1" showErrorMessage="1" sqref="O2:O311">
      <formula1>Symbols_Capacitors</formula1>
    </dataValidation>
    <dataValidation type="list" allowBlank="1" showInputMessage="1" showErrorMessage="1" sqref="J2:J311">
      <formula1>Footprints_Capacitors</formula1>
    </dataValidation>
    <dataValidation type="list" allowBlank="1" showInputMessage="1" showErrorMessage="1" sqref="N2:N311">
      <formula1>Process_List</formula1>
    </dataValidation>
    <dataValidation type="list" allowBlank="1" showInputMessage="1" showErrorMessage="1" sqref="M2:M311">
      <formula1>Rating_List</formula1>
    </dataValidation>
  </dataValidations>
  <pageMargins left="0.7" right="0.7" top="0.75" bottom="0.75" header="0.3" footer="0.3"/>
  <pageSetup paperSize="9" orientation="portrait" r:id="rId1"/>
  <ignoredErrors>
    <ignoredError sqref="G97:G311 G2:G95" numberStoredAsText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5"/>
  <sheetViews>
    <sheetView topLeftCell="B1" zoomScale="85" zoomScaleNormal="85" workbookViewId="0">
      <selection activeCell="D2" sqref="D2"/>
    </sheetView>
  </sheetViews>
  <sheetFormatPr defaultRowHeight="15" x14ac:dyDescent="0.25"/>
  <cols>
    <col min="1" max="1" width="5.140625" bestFit="1" customWidth="1"/>
    <col min="2" max="2" width="11" bestFit="1" customWidth="1"/>
    <col min="3" max="3" width="11.28515625" bestFit="1" customWidth="1"/>
    <col min="4" max="4" width="60" bestFit="1" customWidth="1"/>
    <col min="5" max="5" width="15.85546875" bestFit="1" customWidth="1"/>
    <col min="6" max="6" width="15.42578125" bestFit="1" customWidth="1"/>
    <col min="7" max="7" width="15" bestFit="1" customWidth="1"/>
    <col min="8" max="8" width="17.140625" bestFit="1" customWidth="1"/>
    <col min="9" max="9" width="25" bestFit="1" customWidth="1"/>
    <col min="10" max="10" width="15.28515625" bestFit="1" customWidth="1"/>
    <col min="11" max="11" width="15.5703125" bestFit="1" customWidth="1"/>
    <col min="12" max="12" width="9.28515625" bestFit="1" customWidth="1"/>
    <col min="13" max="13" width="10" customWidth="1"/>
    <col min="14" max="14" width="15.42578125" bestFit="1" customWidth="1"/>
    <col min="15" max="15" width="25" bestFit="1" customWidth="1"/>
  </cols>
  <sheetData>
    <row r="1" spans="1:16" x14ac:dyDescent="0.25">
      <c r="A1" t="s">
        <v>0</v>
      </c>
      <c r="B1" s="7" t="s">
        <v>67</v>
      </c>
      <c r="C1" t="s">
        <v>7</v>
      </c>
      <c r="D1" t="s">
        <v>8</v>
      </c>
      <c r="E1" s="177" t="s">
        <v>1569</v>
      </c>
      <c r="F1" s="7" t="s">
        <v>1570</v>
      </c>
      <c r="G1" s="177" t="s">
        <v>1566</v>
      </c>
      <c r="H1" s="7" t="s">
        <v>1564</v>
      </c>
      <c r="I1" s="7" t="s">
        <v>18</v>
      </c>
      <c r="J1" s="7" t="s">
        <v>2</v>
      </c>
      <c r="K1" s="7" t="s">
        <v>1</v>
      </c>
      <c r="L1" s="7" t="s">
        <v>6</v>
      </c>
      <c r="M1" s="7" t="s">
        <v>5</v>
      </c>
      <c r="N1" s="7" t="s">
        <v>3</v>
      </c>
      <c r="O1" t="s">
        <v>4</v>
      </c>
    </row>
    <row r="2" spans="1:16" x14ac:dyDescent="0.25">
      <c r="A2" s="22">
        <f t="shared" ref="A2:A5" si="0">ROW()-1</f>
        <v>1</v>
      </c>
      <c r="B2" s="11" t="s">
        <v>120</v>
      </c>
      <c r="C2" s="1" t="str">
        <f>"IND"</f>
        <v>IND</v>
      </c>
      <c r="D2" s="6" t="str">
        <f>CONCATENATE(Inductors[[#This Row],[Category]]," ",Inductors[[#This Row],[Inductance(H)]]," ",Inductors[[#This Row],[Irms Current(A)]]," ",Inductors[[#This Row],[Tolerance(%)]]," ",Inductors[[#This Row],[Max DCR(Ohm)]]," ",SUBSTITUTE(Inductors[[#This Row],[Footprint]], "IND-", "")," ",Inductors[[#This Row],[Rating]])</f>
        <v>IND 56uH 2.3A 20% 100mOhm 12.5x12.5x6(Shielded) AECQ</v>
      </c>
      <c r="E2" s="1" t="s">
        <v>121</v>
      </c>
      <c r="F2" s="1" t="s">
        <v>122</v>
      </c>
      <c r="G2" s="10" t="s">
        <v>125</v>
      </c>
      <c r="H2" s="20" t="s">
        <v>159</v>
      </c>
      <c r="I2" s="9" t="s">
        <v>124</v>
      </c>
      <c r="J2" s="1" t="s">
        <v>123</v>
      </c>
      <c r="K2" s="1" t="s">
        <v>26</v>
      </c>
      <c r="L2" s="5" t="s">
        <v>11</v>
      </c>
      <c r="M2" s="5" t="s">
        <v>10</v>
      </c>
      <c r="N2" s="1" t="s">
        <v>126</v>
      </c>
      <c r="O2" s="9" t="str">
        <f>Inductors[[#This Row],[Footprint]]</f>
        <v>IND-12.5x12.5x6(Shielded)</v>
      </c>
    </row>
    <row r="3" spans="1:16" x14ac:dyDescent="0.25">
      <c r="A3" s="22">
        <f t="shared" si="0"/>
        <v>2</v>
      </c>
      <c r="B3" s="19" t="s">
        <v>131</v>
      </c>
      <c r="C3" s="174" t="str">
        <f t="shared" ref="C3:C5" si="1">"IND"</f>
        <v>IND</v>
      </c>
      <c r="D3" s="6" t="str">
        <f>CONCATENATE(Inductors[[#This Row],[Category]]," ",Inductors[[#This Row],[Inductance(H)]]," ",Inductors[[#This Row],[Irms Current(A)]]," ",Inductors[[#This Row],[Tolerance(%)]]," ",Inductors[[#This Row],[Max DCR(Ohm)]]," ",SUBSTITUTE(Inductors[[#This Row],[Footprint]], "IND-", "")," ",Inductors[[#This Row],[Rating]])</f>
        <v>IND 47uH 2.9A 20% 164mOhm 7.4x7x4.8(Shielded) AECQ</v>
      </c>
      <c r="E3" s="13" t="s">
        <v>128</v>
      </c>
      <c r="F3" s="13" t="s">
        <v>129</v>
      </c>
      <c r="G3" s="10" t="s">
        <v>125</v>
      </c>
      <c r="H3" s="21" t="s">
        <v>1011</v>
      </c>
      <c r="I3" s="9" t="s">
        <v>130</v>
      </c>
      <c r="J3" s="13" t="s">
        <v>127</v>
      </c>
      <c r="K3" s="1" t="s">
        <v>30</v>
      </c>
      <c r="L3" s="5" t="s">
        <v>11</v>
      </c>
      <c r="M3" s="13" t="s">
        <v>10</v>
      </c>
      <c r="N3" s="1" t="s">
        <v>126</v>
      </c>
      <c r="O3" s="9" t="str">
        <f>Inductors[[#This Row],[Footprint]]</f>
        <v>IND-7.4x7x4.8(Shielded)</v>
      </c>
    </row>
    <row r="4" spans="1:16" x14ac:dyDescent="0.25">
      <c r="A4" s="22">
        <f t="shared" si="0"/>
        <v>3</v>
      </c>
      <c r="B4" s="19" t="s">
        <v>134</v>
      </c>
      <c r="C4" s="174" t="str">
        <f t="shared" si="1"/>
        <v>IND</v>
      </c>
      <c r="D4" s="6" t="str">
        <f>CONCATENATE(Inductors[[#This Row],[Category]]," ",Inductors[[#This Row],[Inductance(H)]]," ",Inductors[[#This Row],[Irms Current(A)]]," ",Inductors[[#This Row],[Tolerance(%)]]," ",Inductors[[#This Row],[Max DCR(Ohm)]]," ",SUBSTITUTE(Inductors[[#This Row],[Footprint]], "IND-", "")," ",Inductors[[#This Row],[Rating]])</f>
        <v>IND 4.7uH 5.5A 20% 40mOhm 7.3x6.6x2.8(Shielded) AECQ</v>
      </c>
      <c r="E4" s="13" t="s">
        <v>135</v>
      </c>
      <c r="F4" s="13" t="s">
        <v>136</v>
      </c>
      <c r="G4" s="10" t="s">
        <v>125</v>
      </c>
      <c r="H4" s="21" t="s">
        <v>1012</v>
      </c>
      <c r="I4" s="9" t="s">
        <v>138</v>
      </c>
      <c r="J4" s="13" t="s">
        <v>133</v>
      </c>
      <c r="K4" s="1" t="s">
        <v>132</v>
      </c>
      <c r="L4" s="5" t="s">
        <v>11</v>
      </c>
      <c r="M4" s="13" t="s">
        <v>10</v>
      </c>
      <c r="N4" s="1" t="s">
        <v>126</v>
      </c>
      <c r="O4" s="9" t="str">
        <f>Inductors[[#This Row],[Footprint]]</f>
        <v>IND-7.3x6.6x2.8(Shielded)</v>
      </c>
      <c r="P4" t="s">
        <v>137</v>
      </c>
    </row>
    <row r="5" spans="1:16" x14ac:dyDescent="0.25">
      <c r="A5" s="22">
        <f t="shared" si="0"/>
        <v>4</v>
      </c>
      <c r="B5" s="19" t="s">
        <v>134</v>
      </c>
      <c r="C5" s="174" t="str">
        <f t="shared" si="1"/>
        <v>IND</v>
      </c>
      <c r="D5" s="6" t="str">
        <f>CONCATENATE(Inductors[[#This Row],[Category]]," ",Inductors[[#This Row],[Inductance(H)]]," ",Inductors[[#This Row],[Irms Current(A)]]," ",Inductors[[#This Row],[Tolerance(%)]]," ",Inductors[[#This Row],[Max DCR(Ohm)]]," ",SUBSTITUTE(Inductors[[#This Row],[Footprint]], "IND-", "")," ",Inductors[[#This Row],[Rating]])</f>
        <v xml:space="preserve">IND      </v>
      </c>
      <c r="E5" s="13"/>
      <c r="F5" s="13"/>
      <c r="G5" s="10"/>
      <c r="H5" s="21"/>
      <c r="I5" s="9"/>
      <c r="J5" s="13"/>
      <c r="K5" s="1"/>
      <c r="L5" s="5"/>
      <c r="M5" s="13"/>
      <c r="N5" s="1"/>
      <c r="O5" s="9">
        <f>Inductors[[#This Row],[Footprint]]</f>
        <v>0</v>
      </c>
    </row>
  </sheetData>
  <dataValidations count="5">
    <dataValidation type="list" allowBlank="1" showInputMessage="1" showErrorMessage="1" sqref="I2:I5">
      <formula1>Footprints_Inductors</formula1>
    </dataValidation>
    <dataValidation type="list" allowBlank="1" showInputMessage="1" showErrorMessage="1" sqref="N2:N5">
      <formula1>Symbols_Inductors</formula1>
    </dataValidation>
    <dataValidation type="list" allowBlank="1" showInputMessage="1" showErrorMessage="1" sqref="K2:K5">
      <formula1>Manufacturers_Inductors</formula1>
    </dataValidation>
    <dataValidation type="list" allowBlank="1" showInputMessage="1" showErrorMessage="1" sqref="M2:M5">
      <formula1>Process_List</formula1>
    </dataValidation>
    <dataValidation type="list" allowBlank="1" showInputMessage="1" showErrorMessage="1" sqref="L2:L5">
      <formula1>Rating_List</formula1>
    </dataValidation>
  </dataValidations>
  <pageMargins left="0.7" right="0.7" top="0.75" bottom="0.75" header="0.3" footer="0.3"/>
  <pageSetup paperSize="9" orientation="portrait" r:id="rId1"/>
  <ignoredErrors>
    <ignoredError sqref="G2:G5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7"/>
  <sheetViews>
    <sheetView zoomScale="85" zoomScaleNormal="85" workbookViewId="0">
      <selection activeCell="H21" sqref="H21"/>
    </sheetView>
  </sheetViews>
  <sheetFormatPr defaultRowHeight="15" x14ac:dyDescent="0.25"/>
  <cols>
    <col min="1" max="1" width="5.7109375" bestFit="1" customWidth="1"/>
    <col min="2" max="2" width="11.42578125" bestFit="1" customWidth="1"/>
    <col min="3" max="3" width="11.28515625" bestFit="1" customWidth="1"/>
    <col min="4" max="4" width="50.85546875" bestFit="1" customWidth="1"/>
    <col min="5" max="5" width="34.28515625" bestFit="1" customWidth="1"/>
    <col min="6" max="6" width="22.85546875" bestFit="1" customWidth="1"/>
    <col min="7" max="7" width="17.140625" bestFit="1" customWidth="1"/>
    <col min="8" max="8" width="18.7109375" bestFit="1" customWidth="1"/>
    <col min="9" max="9" width="18.85546875" bestFit="1" customWidth="1"/>
    <col min="10" max="10" width="15.5703125" bestFit="1" customWidth="1"/>
    <col min="11" max="12" width="10" bestFit="1" customWidth="1"/>
    <col min="13" max="13" width="26.42578125" bestFit="1" customWidth="1"/>
    <col min="14" max="14" width="15.85546875" bestFit="1" customWidth="1"/>
  </cols>
  <sheetData>
    <row r="1" spans="1:14" x14ac:dyDescent="0.25">
      <c r="A1" t="s">
        <v>0</v>
      </c>
      <c r="B1" s="7" t="s">
        <v>67</v>
      </c>
      <c r="C1" t="s">
        <v>7</v>
      </c>
      <c r="D1" t="s">
        <v>8</v>
      </c>
      <c r="E1" s="7" t="s">
        <v>1562</v>
      </c>
      <c r="F1" s="7" t="s">
        <v>1563</v>
      </c>
      <c r="G1" s="7" t="s">
        <v>1564</v>
      </c>
      <c r="H1" s="7" t="s">
        <v>18</v>
      </c>
      <c r="I1" s="7" t="s">
        <v>2</v>
      </c>
      <c r="J1" s="7" t="s">
        <v>1</v>
      </c>
      <c r="K1" s="7" t="s">
        <v>6</v>
      </c>
      <c r="L1" s="7" t="s">
        <v>5</v>
      </c>
      <c r="M1" s="7" t="s">
        <v>3</v>
      </c>
      <c r="N1" t="s">
        <v>4</v>
      </c>
    </row>
    <row r="2" spans="1:14" x14ac:dyDescent="0.25">
      <c r="A2" s="94">
        <f t="shared" ref="A2:A7" si="0">ROW()-1</f>
        <v>1</v>
      </c>
      <c r="B2" s="96" t="s">
        <v>89</v>
      </c>
      <c r="C2" s="174" t="str">
        <f>"FB"</f>
        <v>FB</v>
      </c>
      <c r="D2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120Ohm@100MHz 3.5A 20mOhm 1206 AECQ</v>
      </c>
      <c r="E2" s="97" t="s">
        <v>163</v>
      </c>
      <c r="F2" s="97" t="s">
        <v>139</v>
      </c>
      <c r="G2" s="91" t="s">
        <v>150</v>
      </c>
      <c r="H2" s="5" t="s">
        <v>86</v>
      </c>
      <c r="I2" s="91" t="s">
        <v>80</v>
      </c>
      <c r="J2" s="91" t="s">
        <v>56</v>
      </c>
      <c r="K2" s="5" t="s">
        <v>11</v>
      </c>
      <c r="L2" s="5" t="s">
        <v>10</v>
      </c>
      <c r="M2" s="91" t="s">
        <v>88</v>
      </c>
      <c r="N2" s="47" t="str">
        <f>FerriteBeads[[#This Row],[Footprint]]</f>
        <v>FB-1206</v>
      </c>
    </row>
    <row r="3" spans="1:14" x14ac:dyDescent="0.25">
      <c r="A3" s="94">
        <f t="shared" si="0"/>
        <v>2</v>
      </c>
      <c r="B3" s="98" t="s">
        <v>89</v>
      </c>
      <c r="C3" s="174" t="str">
        <f t="shared" ref="C3:C17" si="1">"FB"</f>
        <v>FB</v>
      </c>
      <c r="D3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120Ohm@100MHz 6A 9mOhm 1206 AECQ</v>
      </c>
      <c r="E3" s="99" t="s">
        <v>163</v>
      </c>
      <c r="F3" s="99" t="s">
        <v>140</v>
      </c>
      <c r="G3" s="92" t="s">
        <v>151</v>
      </c>
      <c r="H3" s="15" t="s">
        <v>86</v>
      </c>
      <c r="I3" s="92" t="s">
        <v>94</v>
      </c>
      <c r="J3" s="92" t="s">
        <v>56</v>
      </c>
      <c r="K3" s="15" t="s">
        <v>11</v>
      </c>
      <c r="L3" s="15" t="s">
        <v>10</v>
      </c>
      <c r="M3" s="92" t="s">
        <v>88</v>
      </c>
      <c r="N3" s="16" t="str">
        <f>FerriteBeads[[#This Row],[Footprint]]</f>
        <v>FB-1206</v>
      </c>
    </row>
    <row r="4" spans="1:14" x14ac:dyDescent="0.25">
      <c r="A4" s="94">
        <f t="shared" si="0"/>
        <v>3</v>
      </c>
      <c r="B4" s="96" t="s">
        <v>90</v>
      </c>
      <c r="C4" s="174" t="str">
        <f t="shared" si="1"/>
        <v>FB</v>
      </c>
      <c r="D4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600Ohm@100MHz 1A 150mOhm 0603 AECQ</v>
      </c>
      <c r="E4" s="97" t="s">
        <v>164</v>
      </c>
      <c r="F4" s="97" t="s">
        <v>141</v>
      </c>
      <c r="G4" s="91" t="s">
        <v>152</v>
      </c>
      <c r="H4" s="5" t="s">
        <v>84</v>
      </c>
      <c r="I4" s="91" t="s">
        <v>95</v>
      </c>
      <c r="J4" s="91" t="s">
        <v>56</v>
      </c>
      <c r="K4" s="5" t="s">
        <v>11</v>
      </c>
      <c r="L4" s="5" t="s">
        <v>10</v>
      </c>
      <c r="M4" s="91" t="s">
        <v>88</v>
      </c>
      <c r="N4" s="47" t="str">
        <f>FerriteBeads[[#This Row],[Footprint]]</f>
        <v>FB-0603</v>
      </c>
    </row>
    <row r="5" spans="1:14" x14ac:dyDescent="0.25">
      <c r="A5" s="94">
        <f t="shared" si="0"/>
        <v>4</v>
      </c>
      <c r="B5" s="96" t="s">
        <v>91</v>
      </c>
      <c r="C5" s="174" t="str">
        <f t="shared" si="1"/>
        <v>FB</v>
      </c>
      <c r="D5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1KOhm@100MHz 1A 200mOhm 0603 AECQ</v>
      </c>
      <c r="E5" s="97" t="s">
        <v>165</v>
      </c>
      <c r="F5" s="97" t="s">
        <v>141</v>
      </c>
      <c r="G5" s="91" t="s">
        <v>153</v>
      </c>
      <c r="H5" s="5" t="s">
        <v>84</v>
      </c>
      <c r="I5" s="91" t="s">
        <v>96</v>
      </c>
      <c r="J5" s="91" t="s">
        <v>56</v>
      </c>
      <c r="K5" s="5" t="s">
        <v>11</v>
      </c>
      <c r="L5" s="5" t="s">
        <v>10</v>
      </c>
      <c r="M5" s="91" t="s">
        <v>88</v>
      </c>
      <c r="N5" s="47" t="str">
        <f>FerriteBeads[[#This Row],[Footprint]]</f>
        <v>FB-0603</v>
      </c>
    </row>
    <row r="6" spans="1:14" x14ac:dyDescent="0.25">
      <c r="A6" s="94">
        <f t="shared" si="0"/>
        <v>5</v>
      </c>
      <c r="B6" s="96" t="s">
        <v>92</v>
      </c>
      <c r="C6" s="174" t="str">
        <f t="shared" si="1"/>
        <v>FB</v>
      </c>
      <c r="D6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600Ohm@100MHz 0.2A 900mOhm 1206 AECQ</v>
      </c>
      <c r="E6" s="97" t="s">
        <v>164</v>
      </c>
      <c r="F6" s="97" t="s">
        <v>142</v>
      </c>
      <c r="G6" s="91" t="s">
        <v>154</v>
      </c>
      <c r="H6" s="5" t="s">
        <v>86</v>
      </c>
      <c r="I6" s="91" t="s">
        <v>97</v>
      </c>
      <c r="J6" s="91" t="s">
        <v>56</v>
      </c>
      <c r="K6" s="5" t="s">
        <v>11</v>
      </c>
      <c r="L6" s="5" t="s">
        <v>10</v>
      </c>
      <c r="M6" s="91" t="s">
        <v>88</v>
      </c>
      <c r="N6" s="47" t="str">
        <f>FerriteBeads[[#This Row],[Footprint]]</f>
        <v>FB-1206</v>
      </c>
    </row>
    <row r="7" spans="1:14" x14ac:dyDescent="0.25">
      <c r="A7" s="94">
        <f t="shared" si="0"/>
        <v>6</v>
      </c>
      <c r="B7" s="96" t="s">
        <v>92</v>
      </c>
      <c r="C7" s="174" t="str">
        <f t="shared" si="1"/>
        <v>FB</v>
      </c>
      <c r="D7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600Ohm@100MHz 0.2A 900mOhm 1206 STD</v>
      </c>
      <c r="E7" s="97" t="s">
        <v>164</v>
      </c>
      <c r="F7" s="97" t="s">
        <v>142</v>
      </c>
      <c r="G7" s="91" t="s">
        <v>154</v>
      </c>
      <c r="H7" s="5" t="s">
        <v>86</v>
      </c>
      <c r="I7" s="91" t="s">
        <v>98</v>
      </c>
      <c r="J7" s="91" t="s">
        <v>56</v>
      </c>
      <c r="K7" s="5" t="s">
        <v>1561</v>
      </c>
      <c r="L7" s="5" t="s">
        <v>10</v>
      </c>
      <c r="M7" s="91" t="s">
        <v>88</v>
      </c>
      <c r="N7" s="47" t="str">
        <f>FerriteBeads[[#This Row],[Footprint]]</f>
        <v>FB-1206</v>
      </c>
    </row>
    <row r="8" spans="1:14" x14ac:dyDescent="0.25">
      <c r="A8" s="95">
        <f t="shared" ref="A8:A11" si="2">ROW()-1</f>
        <v>7</v>
      </c>
      <c r="B8" s="96" t="s">
        <v>92</v>
      </c>
      <c r="C8" s="174" t="str">
        <f t="shared" si="1"/>
        <v>FB</v>
      </c>
      <c r="D8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600Ohm@100MHz 0.1A 350mOhm 1206(4-Array) STD</v>
      </c>
      <c r="E8" s="97" t="s">
        <v>164</v>
      </c>
      <c r="F8" s="97" t="s">
        <v>143</v>
      </c>
      <c r="G8" s="91" t="s">
        <v>155</v>
      </c>
      <c r="H8" s="5" t="s">
        <v>99</v>
      </c>
      <c r="I8" s="91" t="s">
        <v>101</v>
      </c>
      <c r="J8" s="91" t="s">
        <v>56</v>
      </c>
      <c r="K8" s="46" t="s">
        <v>1561</v>
      </c>
      <c r="L8" s="46" t="s">
        <v>10</v>
      </c>
      <c r="M8" s="91" t="s">
        <v>100</v>
      </c>
      <c r="N8" s="43" t="str">
        <f>FerriteBeads[[#This Row],[Footprint]]</f>
        <v>FB-1206(4-Array)</v>
      </c>
    </row>
    <row r="9" spans="1:14" x14ac:dyDescent="0.25">
      <c r="A9" s="95">
        <f t="shared" si="2"/>
        <v>8</v>
      </c>
      <c r="B9" s="96" t="s">
        <v>93</v>
      </c>
      <c r="C9" s="174" t="str">
        <f t="shared" si="1"/>
        <v>FB</v>
      </c>
      <c r="D9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1KOhm@100MHz 0.6A 270mOhm 0805 AECQ</v>
      </c>
      <c r="E9" s="97" t="s">
        <v>165</v>
      </c>
      <c r="F9" s="97" t="s">
        <v>144</v>
      </c>
      <c r="G9" s="91" t="s">
        <v>156</v>
      </c>
      <c r="H9" s="5" t="s">
        <v>85</v>
      </c>
      <c r="I9" s="91" t="s">
        <v>102</v>
      </c>
      <c r="J9" s="91" t="s">
        <v>56</v>
      </c>
      <c r="K9" s="46" t="s">
        <v>11</v>
      </c>
      <c r="L9" s="46" t="s">
        <v>10</v>
      </c>
      <c r="M9" s="91" t="s">
        <v>88</v>
      </c>
      <c r="N9" s="43" t="str">
        <f>FerriteBeads[[#This Row],[Footprint]]</f>
        <v>FB-0805</v>
      </c>
    </row>
    <row r="10" spans="1:14" x14ac:dyDescent="0.25">
      <c r="A10" s="95">
        <f t="shared" si="2"/>
        <v>9</v>
      </c>
      <c r="B10" s="96" t="s">
        <v>104</v>
      </c>
      <c r="C10" s="174" t="str">
        <f t="shared" si="1"/>
        <v>FB</v>
      </c>
      <c r="D10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1KOhm@100MHz 0.25A 400mOhm 0805 STD</v>
      </c>
      <c r="E10" s="97" t="s">
        <v>165</v>
      </c>
      <c r="F10" s="97" t="s">
        <v>145</v>
      </c>
      <c r="G10" s="91" t="s">
        <v>157</v>
      </c>
      <c r="H10" s="5" t="s">
        <v>85</v>
      </c>
      <c r="I10" s="91" t="s">
        <v>103</v>
      </c>
      <c r="J10" s="91" t="s">
        <v>56</v>
      </c>
      <c r="K10" s="46" t="s">
        <v>1561</v>
      </c>
      <c r="L10" s="46" t="s">
        <v>10</v>
      </c>
      <c r="M10" s="91" t="s">
        <v>88</v>
      </c>
      <c r="N10" s="43" t="str">
        <f>FerriteBeads[[#This Row],[Footprint]]</f>
        <v>FB-0805</v>
      </c>
    </row>
    <row r="11" spans="1:14" x14ac:dyDescent="0.25">
      <c r="A11" s="95">
        <f t="shared" si="2"/>
        <v>10</v>
      </c>
      <c r="B11" s="96" t="s">
        <v>104</v>
      </c>
      <c r="C11" s="174" t="str">
        <f t="shared" si="1"/>
        <v>FB</v>
      </c>
      <c r="D11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1KOhm@100MHz 0.25A 400mOhm 0805 AECQ</v>
      </c>
      <c r="E11" s="97" t="s">
        <v>165</v>
      </c>
      <c r="F11" s="97" t="s">
        <v>145</v>
      </c>
      <c r="G11" s="91" t="s">
        <v>157</v>
      </c>
      <c r="H11" s="5" t="s">
        <v>85</v>
      </c>
      <c r="I11" s="91" t="s">
        <v>105</v>
      </c>
      <c r="J11" s="91" t="s">
        <v>56</v>
      </c>
      <c r="K11" s="46" t="s">
        <v>11</v>
      </c>
      <c r="L11" s="46" t="s">
        <v>10</v>
      </c>
      <c r="M11" s="91" t="s">
        <v>88</v>
      </c>
      <c r="N11" s="43" t="str">
        <f>FerriteBeads[[#This Row],[Footprint]]</f>
        <v>FB-0805</v>
      </c>
    </row>
    <row r="12" spans="1:14" x14ac:dyDescent="0.25">
      <c r="A12" s="95">
        <f t="shared" ref="A12:A13" si="3">ROW()-1</f>
        <v>11</v>
      </c>
      <c r="B12" s="96" t="s">
        <v>107</v>
      </c>
      <c r="C12" s="174" t="str">
        <f t="shared" si="1"/>
        <v>FB</v>
      </c>
      <c r="D12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1KOhm@100MHz 0.45A 500mOhm 0603 AECQ</v>
      </c>
      <c r="E12" s="97" t="s">
        <v>165</v>
      </c>
      <c r="F12" s="97" t="s">
        <v>146</v>
      </c>
      <c r="G12" s="91" t="s">
        <v>158</v>
      </c>
      <c r="H12" s="5" t="s">
        <v>84</v>
      </c>
      <c r="I12" s="91" t="s">
        <v>106</v>
      </c>
      <c r="J12" s="91" t="s">
        <v>56</v>
      </c>
      <c r="K12" s="46" t="s">
        <v>11</v>
      </c>
      <c r="L12" s="46" t="s">
        <v>10</v>
      </c>
      <c r="M12" s="91" t="s">
        <v>88</v>
      </c>
      <c r="N12" s="43" t="str">
        <f>FerriteBeads[[#This Row],[Footprint]]</f>
        <v>FB-0603</v>
      </c>
    </row>
    <row r="13" spans="1:14" x14ac:dyDescent="0.25">
      <c r="A13" s="95">
        <f t="shared" si="3"/>
        <v>12</v>
      </c>
      <c r="B13" s="96" t="s">
        <v>109</v>
      </c>
      <c r="C13" s="174" t="str">
        <f t="shared" si="1"/>
        <v>FB</v>
      </c>
      <c r="D13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120Ohm@100MHz 4A 9mOhm 1206 AECQ</v>
      </c>
      <c r="E13" s="97" t="s">
        <v>163</v>
      </c>
      <c r="F13" s="97" t="s">
        <v>147</v>
      </c>
      <c r="G13" s="91" t="s">
        <v>151</v>
      </c>
      <c r="H13" s="5" t="s">
        <v>86</v>
      </c>
      <c r="I13" s="91" t="s">
        <v>108</v>
      </c>
      <c r="J13" s="91" t="s">
        <v>56</v>
      </c>
      <c r="K13" s="46" t="s">
        <v>11</v>
      </c>
      <c r="L13" s="46" t="s">
        <v>10</v>
      </c>
      <c r="M13" s="91" t="s">
        <v>88</v>
      </c>
      <c r="N13" s="43" t="str">
        <f>FerriteBeads[[#This Row],[Footprint]]</f>
        <v>FB-1206</v>
      </c>
    </row>
    <row r="14" spans="1:14" x14ac:dyDescent="0.25">
      <c r="A14" s="95">
        <f>ROW()-1</f>
        <v>13</v>
      </c>
      <c r="B14" s="96" t="s">
        <v>111</v>
      </c>
      <c r="C14" s="174" t="str">
        <f t="shared" si="1"/>
        <v>FB</v>
      </c>
      <c r="D14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600Ohm@100MHz 2A 100mOhm 0805 STD</v>
      </c>
      <c r="E14" s="97" t="s">
        <v>164</v>
      </c>
      <c r="F14" s="97" t="s">
        <v>148</v>
      </c>
      <c r="G14" s="91" t="s">
        <v>159</v>
      </c>
      <c r="H14" s="5" t="s">
        <v>85</v>
      </c>
      <c r="I14" s="91" t="s">
        <v>110</v>
      </c>
      <c r="J14" s="91" t="s">
        <v>27</v>
      </c>
      <c r="K14" s="46" t="s">
        <v>1561</v>
      </c>
      <c r="L14" s="46" t="s">
        <v>10</v>
      </c>
      <c r="M14" s="91" t="s">
        <v>88</v>
      </c>
      <c r="N14" s="43" t="str">
        <f>FerriteBeads[[#This Row],[Footprint]]</f>
        <v>FB-0805</v>
      </c>
    </row>
    <row r="15" spans="1:14" x14ac:dyDescent="0.25">
      <c r="A15" s="95">
        <f t="shared" ref="A15:A16" si="4">ROW()-1</f>
        <v>14</v>
      </c>
      <c r="B15" s="96" t="s">
        <v>112</v>
      </c>
      <c r="C15" s="174" t="str">
        <f t="shared" si="1"/>
        <v>FB</v>
      </c>
      <c r="D15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120Ohm@100MHz 2.5A 35mOhm 0805 AECQ</v>
      </c>
      <c r="E15" s="97" t="s">
        <v>163</v>
      </c>
      <c r="F15" s="97" t="s">
        <v>149</v>
      </c>
      <c r="G15" s="91" t="s">
        <v>160</v>
      </c>
      <c r="H15" s="5" t="s">
        <v>85</v>
      </c>
      <c r="I15" s="47">
        <v>782853121</v>
      </c>
      <c r="J15" s="91" t="s">
        <v>35</v>
      </c>
      <c r="K15" s="46" t="s">
        <v>11</v>
      </c>
      <c r="L15" s="46" t="s">
        <v>10</v>
      </c>
      <c r="M15" s="91" t="s">
        <v>88</v>
      </c>
      <c r="N15" s="43" t="str">
        <f>FerriteBeads[[#This Row],[Footprint]]</f>
        <v>FB-0805</v>
      </c>
    </row>
    <row r="16" spans="1:14" x14ac:dyDescent="0.25">
      <c r="A16" s="95">
        <f t="shared" si="4"/>
        <v>15</v>
      </c>
      <c r="B16" s="96" t="s">
        <v>107</v>
      </c>
      <c r="C16" s="174" t="str">
        <f t="shared" si="1"/>
        <v>FB</v>
      </c>
      <c r="D16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1KOhm@100MHz 0.2A 600mOhm 0603 AECQ</v>
      </c>
      <c r="E16" s="97" t="s">
        <v>165</v>
      </c>
      <c r="F16" s="97" t="s">
        <v>142</v>
      </c>
      <c r="G16" s="91" t="s">
        <v>161</v>
      </c>
      <c r="H16" s="5" t="s">
        <v>84</v>
      </c>
      <c r="I16" s="47">
        <v>74279266</v>
      </c>
      <c r="J16" s="91" t="s">
        <v>35</v>
      </c>
      <c r="K16" s="46" t="s">
        <v>11</v>
      </c>
      <c r="L16" s="46" t="s">
        <v>10</v>
      </c>
      <c r="M16" s="91" t="s">
        <v>88</v>
      </c>
      <c r="N16" s="43" t="str">
        <f>FerriteBeads[[#This Row],[Footprint]]</f>
        <v>FB-0603</v>
      </c>
    </row>
    <row r="17" spans="1:14" x14ac:dyDescent="0.25">
      <c r="A17" s="95">
        <f>ROW()-1</f>
        <v>16</v>
      </c>
      <c r="B17" s="96" t="s">
        <v>113</v>
      </c>
      <c r="C17" s="174" t="str">
        <f t="shared" si="1"/>
        <v>FB</v>
      </c>
      <c r="D17" s="91" t="str">
        <f>CONCATENATE(FerriteBeads[[#This Row],[Category]]," ",FerriteBeads[[#This Row],[Impedance(Ohm)@Frequency(Hz)]]," ",FerriteBeads[[#This Row],[Max Rated Current(A)]]," ",FerriteBeads[[#This Row],[Max DCR(Ohm)]]," ",SUBSTITUTE(FerriteBeads[[#This Row],[Footprint]], "FB-", "")," ",FerriteBeads[[#This Row],[Rating]])</f>
        <v>FB 1.5KOhm@100MHz 1A 300mOhm 0805 AECQ</v>
      </c>
      <c r="E17" s="97" t="s">
        <v>166</v>
      </c>
      <c r="F17" s="97" t="s">
        <v>141</v>
      </c>
      <c r="G17" s="91" t="s">
        <v>162</v>
      </c>
      <c r="H17" s="5" t="s">
        <v>85</v>
      </c>
      <c r="I17" s="47">
        <v>782853162</v>
      </c>
      <c r="J17" s="91" t="s">
        <v>35</v>
      </c>
      <c r="K17" s="46" t="s">
        <v>11</v>
      </c>
      <c r="L17" s="46" t="s">
        <v>10</v>
      </c>
      <c r="M17" s="91" t="s">
        <v>88</v>
      </c>
      <c r="N17" s="43" t="str">
        <f>FerriteBeads[[#This Row],[Footprint]]</f>
        <v>FB-0805</v>
      </c>
    </row>
  </sheetData>
  <dataValidations count="5">
    <dataValidation type="list" allowBlank="1" showInputMessage="1" showErrorMessage="1" sqref="L2:L17">
      <formula1>Process_List</formula1>
    </dataValidation>
    <dataValidation type="list" allowBlank="1" showInputMessage="1" showErrorMessage="1" sqref="K2:K17">
      <formula1>Rating_List</formula1>
    </dataValidation>
    <dataValidation type="list" allowBlank="1" showInputMessage="1" showErrorMessage="1" sqref="J2:J17">
      <formula1>Manufacturers_FerriteBeads</formula1>
    </dataValidation>
    <dataValidation type="list" allowBlank="1" showInputMessage="1" showErrorMessage="1" sqref="H2:H17">
      <formula1>Footprints_FerriteBeads</formula1>
    </dataValidation>
    <dataValidation type="list" allowBlank="1" showInputMessage="1" showErrorMessage="1" sqref="M2:M17">
      <formula1>Symbols_FerriteBeads</formula1>
    </dataValidation>
  </dataValidations>
  <hyperlinks>
    <hyperlink ref="E1" r:id="rId1" display="Value@Frequency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4"/>
  <sheetViews>
    <sheetView zoomScale="85" zoomScaleNormal="85" workbookViewId="0">
      <selection activeCell="N2" sqref="N2:N4"/>
    </sheetView>
  </sheetViews>
  <sheetFormatPr defaultColWidth="9.140625" defaultRowHeight="15" x14ac:dyDescent="0.25"/>
  <cols>
    <col min="1" max="1" width="5.7109375" style="45" bestFit="1" customWidth="1"/>
    <col min="2" max="2" width="11.42578125" style="45" bestFit="1" customWidth="1"/>
    <col min="3" max="3" width="13.140625" style="45" bestFit="1" customWidth="1"/>
    <col min="4" max="4" width="61.7109375" style="45" bestFit="1" customWidth="1"/>
    <col min="5" max="5" width="31" style="45" customWidth="1"/>
    <col min="6" max="6" width="34.28515625" style="45" bestFit="1" customWidth="1"/>
    <col min="7" max="7" width="22.85546875" style="45" bestFit="1" customWidth="1"/>
    <col min="8" max="8" width="17.140625" style="173" bestFit="1" customWidth="1"/>
    <col min="9" max="9" width="16.5703125" style="45" bestFit="1" customWidth="1"/>
    <col min="10" max="10" width="18.85546875" style="45" bestFit="1" customWidth="1"/>
    <col min="11" max="11" width="15.5703125" style="45" bestFit="1" customWidth="1"/>
    <col min="12" max="13" width="10" style="45" bestFit="1" customWidth="1"/>
    <col min="14" max="14" width="12.7109375" style="45" bestFit="1" customWidth="1"/>
    <col min="15" max="15" width="16.5703125" style="45" bestFit="1" customWidth="1"/>
    <col min="16" max="16384" width="9.140625" style="45"/>
  </cols>
  <sheetData>
    <row r="1" spans="1:15" x14ac:dyDescent="0.25">
      <c r="A1" s="45" t="s">
        <v>0</v>
      </c>
      <c r="B1" s="7" t="s">
        <v>67</v>
      </c>
      <c r="C1" s="45" t="s">
        <v>7</v>
      </c>
      <c r="D1" s="45" t="s">
        <v>8</v>
      </c>
      <c r="E1" s="177" t="s">
        <v>1571</v>
      </c>
      <c r="F1" s="177" t="s">
        <v>1562</v>
      </c>
      <c r="G1" s="7" t="s">
        <v>1563</v>
      </c>
      <c r="H1" s="177" t="s">
        <v>1564</v>
      </c>
      <c r="I1" s="7" t="s">
        <v>18</v>
      </c>
      <c r="J1" s="7" t="s">
        <v>2</v>
      </c>
      <c r="K1" s="7" t="s">
        <v>1</v>
      </c>
      <c r="L1" s="7" t="s">
        <v>6</v>
      </c>
      <c r="M1" s="7" t="s">
        <v>5</v>
      </c>
      <c r="N1" s="7" t="s">
        <v>3</v>
      </c>
      <c r="O1" s="45" t="s">
        <v>4</v>
      </c>
    </row>
    <row r="2" spans="1:15" x14ac:dyDescent="0.25">
      <c r="A2" s="94">
        <f t="shared" ref="A2:A4" si="0">ROW()-1</f>
        <v>1</v>
      </c>
      <c r="B2" s="96" t="s">
        <v>89</v>
      </c>
      <c r="C2" s="91" t="str">
        <f>"CMC"</f>
        <v>CMC</v>
      </c>
      <c r="D2" s="91" t="str">
        <f>CONCATENATE(FerriteBeads5[[#This Row],[Category]]," ",FerriteBeads5[[#This Row],[Inductance(H)@Frequency(Hz)]]," ",FerriteBeads5[[#This Row],[Impedance(Ohm)@Frequency(Hz)]]," ",FerriteBeads5[[#This Row],[Max Rated Current(A)]]," ",SUBSTITUTE(FerriteBeads5[[#This Row],[Footprint]], "FB-", "")," ",FerriteBeads5[[#This Row],[Rating]])</f>
        <v>CMC 100uH@100KHz 5KOhm@10MHz 0.15A 4 PC Pad(ACT45B) AECQ</v>
      </c>
      <c r="E2" s="97" t="s">
        <v>1421</v>
      </c>
      <c r="F2" s="97" t="s">
        <v>1422</v>
      </c>
      <c r="G2" s="91" t="s">
        <v>300</v>
      </c>
      <c r="H2" s="97" t="s">
        <v>1423</v>
      </c>
      <c r="I2" s="5" t="s">
        <v>1413</v>
      </c>
      <c r="J2" s="47">
        <v>744235101</v>
      </c>
      <c r="K2" s="91" t="s">
        <v>35</v>
      </c>
      <c r="L2" s="5" t="s">
        <v>11</v>
      </c>
      <c r="M2" s="5" t="s">
        <v>10</v>
      </c>
      <c r="N2" s="91" t="s">
        <v>1425</v>
      </c>
      <c r="O2" s="47" t="str">
        <f>FerriteBeads5[[#This Row],[Footprint]]</f>
        <v>4 PC Pad(ACT45B)</v>
      </c>
    </row>
    <row r="3" spans="1:15" x14ac:dyDescent="0.25">
      <c r="A3" s="94">
        <f t="shared" si="0"/>
        <v>2</v>
      </c>
      <c r="B3" s="98"/>
      <c r="C3" s="91" t="str">
        <f t="shared" ref="C3:C4" si="1">"CMC"</f>
        <v>CMC</v>
      </c>
      <c r="D3" s="91" t="str">
        <f>CONCATENATE(FerriteBeads5[[#This Row],[Category]]," ",FerriteBeads5[[#This Row],[Inductance(H)@Frequency(Hz)]]," ",FerriteBeads5[[#This Row],[Impedance(Ohm)@Frequency(Hz)]]," ",FerriteBeads5[[#This Row],[Max Rated Current(A)]]," ",SUBSTITUTE(FerriteBeads5[[#This Row],[Footprint]], "FB-", "")," ",FerriteBeads5[[#This Row],[Rating]])</f>
        <v xml:space="preserve">CMC     </v>
      </c>
      <c r="E3" s="99"/>
      <c r="F3" s="99"/>
      <c r="G3" s="92"/>
      <c r="H3" s="92"/>
      <c r="I3" s="15"/>
      <c r="J3" s="16"/>
      <c r="K3" s="92"/>
      <c r="L3" s="15"/>
      <c r="M3" s="15"/>
      <c r="N3" s="92"/>
      <c r="O3" s="16"/>
    </row>
    <row r="4" spans="1:15" x14ac:dyDescent="0.25">
      <c r="A4" s="94">
        <f t="shared" si="0"/>
        <v>3</v>
      </c>
      <c r="B4" s="96"/>
      <c r="C4" s="91" t="str">
        <f t="shared" si="1"/>
        <v>CMC</v>
      </c>
      <c r="D4" s="91" t="str">
        <f>CONCATENATE(FerriteBeads5[[#This Row],[Category]]," ",FerriteBeads5[[#This Row],[Inductance(H)@Frequency(Hz)]]," ",FerriteBeads5[[#This Row],[Impedance(Ohm)@Frequency(Hz)]]," ",FerriteBeads5[[#This Row],[Max Rated Current(A)]]," ",SUBSTITUTE(FerriteBeads5[[#This Row],[Footprint]], "FB-", "")," ",FerriteBeads5[[#This Row],[Rating]])</f>
        <v xml:space="preserve">CMC     </v>
      </c>
      <c r="E4" s="97"/>
      <c r="F4" s="97"/>
      <c r="G4" s="91"/>
      <c r="H4" s="91"/>
      <c r="I4" s="5"/>
      <c r="J4" s="47"/>
      <c r="K4" s="91"/>
      <c r="L4" s="5"/>
      <c r="M4" s="5"/>
      <c r="N4" s="91"/>
      <c r="O4" s="47"/>
    </row>
  </sheetData>
  <dataValidations count="7">
    <dataValidation type="list" allowBlank="1" showInputMessage="1" showErrorMessage="1" sqref="N2:N4">
      <formula1>Symbols_CMCs</formula1>
    </dataValidation>
    <dataValidation type="list" allowBlank="1" showInputMessage="1" showErrorMessage="1" sqref="I2:I4">
      <formula1>Footprints_CMCs</formula1>
    </dataValidation>
    <dataValidation type="list" allowBlank="1" showInputMessage="1" showErrorMessage="1" sqref="K2:K4">
      <formula1>Manufacturers_CMCs</formula1>
    </dataValidation>
    <dataValidation type="list" allowBlank="1" showInputMessage="1" showErrorMessage="1" sqref="L2:L4">
      <formula1>Rating_List</formula1>
    </dataValidation>
    <dataValidation type="list" allowBlank="1" showInputMessage="1" showErrorMessage="1" sqref="M2:M4">
      <formula1>Process_List</formula1>
    </dataValidation>
    <dataValidation allowBlank="1" showInputMessage="1" showErrorMessage="1" errorTitle="AA" error="AA" sqref="A1:XFD1"/>
    <dataValidation allowBlank="1" showInputMessage="1" showErrorMessage="1" errorTitle="Warning" error="This PN has already defined!" sqref="J2:J4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26"/>
  <sheetViews>
    <sheetView zoomScaleNormal="100" workbookViewId="0">
      <selection activeCell="E31" sqref="E31"/>
    </sheetView>
  </sheetViews>
  <sheetFormatPr defaultColWidth="9.140625" defaultRowHeight="15" x14ac:dyDescent="0.25"/>
  <cols>
    <col min="1" max="1" width="7.28515625" style="174" bestFit="1" customWidth="1"/>
    <col min="2" max="2" width="12.140625" style="55" customWidth="1"/>
    <col min="3" max="3" width="16.85546875" style="174" bestFit="1" customWidth="1"/>
    <col min="4" max="4" width="43.42578125" style="174" bestFit="1" customWidth="1"/>
    <col min="5" max="5" width="30" style="174" bestFit="1" customWidth="1"/>
    <col min="6" max="6" width="27.5703125" style="174" bestFit="1" customWidth="1"/>
    <col min="7" max="7" width="25.140625" style="174" bestFit="1" customWidth="1"/>
    <col min="8" max="8" width="23.5703125" style="174" customWidth="1"/>
    <col min="9" max="9" width="21.42578125" style="174" bestFit="1" customWidth="1"/>
    <col min="10" max="10" width="23.5703125" style="51" customWidth="1"/>
    <col min="11" max="11" width="12.5703125" style="173" customWidth="1"/>
    <col min="12" max="12" width="10" style="174" bestFit="1" customWidth="1"/>
    <col min="13" max="13" width="37.85546875" style="174" bestFit="1" customWidth="1"/>
    <col min="14" max="14" width="29" style="174" customWidth="1"/>
    <col min="15" max="15" width="69.28515625" style="174" bestFit="1" customWidth="1"/>
    <col min="16" max="16384" width="9.140625" style="174"/>
  </cols>
  <sheetData>
    <row r="1" spans="1:15" s="173" customFormat="1" x14ac:dyDescent="0.25">
      <c r="A1" s="47" t="s">
        <v>0</v>
      </c>
      <c r="B1" s="126" t="s">
        <v>67</v>
      </c>
      <c r="C1" s="47" t="s">
        <v>7</v>
      </c>
      <c r="D1" s="47" t="s">
        <v>8</v>
      </c>
      <c r="E1" s="29" t="s">
        <v>1572</v>
      </c>
      <c r="F1" s="56" t="s">
        <v>1573</v>
      </c>
      <c r="G1" s="29" t="s">
        <v>1574</v>
      </c>
      <c r="H1" s="16" t="s">
        <v>18</v>
      </c>
      <c r="I1" s="16" t="s">
        <v>2</v>
      </c>
      <c r="J1" s="31" t="s">
        <v>1</v>
      </c>
      <c r="K1" s="16" t="s">
        <v>6</v>
      </c>
      <c r="L1" s="16" t="s">
        <v>5</v>
      </c>
      <c r="M1" s="16" t="s">
        <v>3</v>
      </c>
      <c r="N1" s="26" t="s">
        <v>4</v>
      </c>
      <c r="O1" s="32" t="s">
        <v>248</v>
      </c>
    </row>
    <row r="2" spans="1:15" s="81" customFormat="1" x14ac:dyDescent="0.25">
      <c r="A2" s="81">
        <f t="shared" ref="A2:A15" si="0">ROW()-1</f>
        <v>1</v>
      </c>
      <c r="B2" s="105" t="s">
        <v>188</v>
      </c>
      <c r="C2" s="101" t="str">
        <f>"DIO-REC"</f>
        <v>DIO-REC</v>
      </c>
      <c r="D2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1.3V 1.5A DO-214AA(SMB) AECQ</v>
      </c>
      <c r="E2" s="174" t="s">
        <v>190</v>
      </c>
      <c r="F2" s="20" t="s">
        <v>192</v>
      </c>
      <c r="G2" s="174" t="s">
        <v>194</v>
      </c>
      <c r="H2" s="174" t="s">
        <v>69</v>
      </c>
      <c r="I2" s="81" t="s">
        <v>226</v>
      </c>
      <c r="J2" s="100" t="s">
        <v>34</v>
      </c>
      <c r="K2" s="81" t="s">
        <v>11</v>
      </c>
      <c r="L2" s="81" t="s">
        <v>10</v>
      </c>
      <c r="M2" s="81" t="s">
        <v>228</v>
      </c>
      <c r="N2" s="81" t="str">
        <f>GenericDiodes80[[#This Row],[Footprint]]</f>
        <v>DO-214AA(SMB)</v>
      </c>
    </row>
    <row r="3" spans="1:15" s="81" customFormat="1" x14ac:dyDescent="0.25">
      <c r="A3" s="81">
        <f t="shared" si="0"/>
        <v>2</v>
      </c>
      <c r="B3" s="105" t="s">
        <v>189</v>
      </c>
      <c r="C3" s="101" t="str">
        <f t="shared" ref="C3:C25" si="1">"DIO-REC"</f>
        <v>DIO-REC</v>
      </c>
      <c r="D3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400V 1.1V 1A DO-214AC(SMA) STD</v>
      </c>
      <c r="E3" s="174" t="s">
        <v>191</v>
      </c>
      <c r="F3" s="48" t="s">
        <v>193</v>
      </c>
      <c r="G3" s="174" t="s">
        <v>141</v>
      </c>
      <c r="H3" s="174" t="s">
        <v>204</v>
      </c>
      <c r="I3" s="81" t="s">
        <v>243</v>
      </c>
      <c r="J3" s="100" t="s">
        <v>34</v>
      </c>
      <c r="K3" s="81" t="s">
        <v>1561</v>
      </c>
      <c r="L3" s="81" t="s">
        <v>10</v>
      </c>
      <c r="M3" s="81" t="s">
        <v>228</v>
      </c>
      <c r="N3" s="103" t="str">
        <f>GenericDiodes80[[#This Row],[Footprint]]</f>
        <v>DO-214AC(SMA)</v>
      </c>
    </row>
    <row r="4" spans="1:15" s="81" customFormat="1" x14ac:dyDescent="0.25">
      <c r="A4" s="81">
        <f t="shared" si="0"/>
        <v>3</v>
      </c>
      <c r="B4" s="105" t="s">
        <v>189</v>
      </c>
      <c r="C4" s="101" t="str">
        <f t="shared" si="1"/>
        <v>DIO-REC</v>
      </c>
      <c r="D4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400V 1.1V 1A DO-214AC(SMA) AECQ</v>
      </c>
      <c r="E4" s="174" t="s">
        <v>191</v>
      </c>
      <c r="F4" s="48" t="s">
        <v>193</v>
      </c>
      <c r="G4" s="174" t="s">
        <v>141</v>
      </c>
      <c r="H4" s="174" t="s">
        <v>204</v>
      </c>
      <c r="I4" s="81" t="s">
        <v>237</v>
      </c>
      <c r="J4" s="100" t="s">
        <v>34</v>
      </c>
      <c r="K4" s="81" t="s">
        <v>11</v>
      </c>
      <c r="L4" s="81" t="s">
        <v>10</v>
      </c>
      <c r="M4" s="81" t="s">
        <v>228</v>
      </c>
      <c r="N4" s="103" t="str">
        <f>GenericDiodes80[[#This Row],[Footprint]]</f>
        <v>DO-214AC(SMA)</v>
      </c>
    </row>
    <row r="5" spans="1:15" s="81" customFormat="1" x14ac:dyDescent="0.25">
      <c r="A5" s="81">
        <f t="shared" si="0"/>
        <v>4</v>
      </c>
      <c r="B5" s="105" t="s">
        <v>238</v>
      </c>
      <c r="C5" s="101" t="str">
        <f t="shared" si="1"/>
        <v>DIO-REC</v>
      </c>
      <c r="D5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STD</v>
      </c>
      <c r="E5" s="174" t="s">
        <v>190</v>
      </c>
      <c r="F5" s="20" t="s">
        <v>193</v>
      </c>
      <c r="G5" s="174" t="s">
        <v>141</v>
      </c>
      <c r="H5" s="174" t="s">
        <v>204</v>
      </c>
      <c r="I5" s="81" t="s">
        <v>239</v>
      </c>
      <c r="J5" s="100" t="s">
        <v>222</v>
      </c>
      <c r="K5" s="81" t="s">
        <v>1561</v>
      </c>
      <c r="L5" s="81" t="s">
        <v>10</v>
      </c>
      <c r="M5" s="81" t="s">
        <v>228</v>
      </c>
      <c r="N5" s="81" t="str">
        <f>GenericDiodes80[[#This Row],[Footprint]]</f>
        <v>DO-214AC(SMA)</v>
      </c>
    </row>
    <row r="6" spans="1:15" s="81" customFormat="1" x14ac:dyDescent="0.25">
      <c r="A6" s="81">
        <f t="shared" si="0"/>
        <v>5</v>
      </c>
      <c r="B6" s="105" t="s">
        <v>238</v>
      </c>
      <c r="C6" s="101" t="str">
        <f t="shared" si="1"/>
        <v>DIO-REC</v>
      </c>
      <c r="D6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AECQ</v>
      </c>
      <c r="E6" s="174" t="s">
        <v>190</v>
      </c>
      <c r="F6" s="20" t="s">
        <v>193</v>
      </c>
      <c r="G6" s="174" t="s">
        <v>141</v>
      </c>
      <c r="H6" s="174" t="s">
        <v>204</v>
      </c>
      <c r="I6" s="81" t="s">
        <v>240</v>
      </c>
      <c r="J6" s="100" t="s">
        <v>242</v>
      </c>
      <c r="K6" s="81" t="s">
        <v>11</v>
      </c>
      <c r="L6" s="81" t="s">
        <v>10</v>
      </c>
      <c r="M6" s="81" t="s">
        <v>228</v>
      </c>
      <c r="N6" s="81" t="str">
        <f>GenericDiodes80[[#This Row],[Footprint]]</f>
        <v>DO-214AC(SMA)</v>
      </c>
    </row>
    <row r="7" spans="1:15" s="81" customFormat="1" x14ac:dyDescent="0.25">
      <c r="A7" s="81">
        <f t="shared" si="0"/>
        <v>6</v>
      </c>
      <c r="B7" s="105" t="s">
        <v>238</v>
      </c>
      <c r="C7" s="101" t="str">
        <f t="shared" si="1"/>
        <v>DIO-REC</v>
      </c>
      <c r="D7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AECQ</v>
      </c>
      <c r="E7" s="174" t="s">
        <v>190</v>
      </c>
      <c r="F7" s="20" t="s">
        <v>193</v>
      </c>
      <c r="G7" s="174" t="s">
        <v>141</v>
      </c>
      <c r="H7" s="174" t="s">
        <v>204</v>
      </c>
      <c r="I7" s="81" t="s">
        <v>241</v>
      </c>
      <c r="J7" s="100" t="s">
        <v>34</v>
      </c>
      <c r="K7" s="81" t="s">
        <v>11</v>
      </c>
      <c r="L7" s="81" t="s">
        <v>10</v>
      </c>
      <c r="M7" s="81" t="s">
        <v>228</v>
      </c>
      <c r="N7" s="81" t="str">
        <f>GenericDiodes80[[#This Row],[Footprint]]</f>
        <v>DO-214AC(SMA)</v>
      </c>
    </row>
    <row r="8" spans="1:15" s="81" customFormat="1" x14ac:dyDescent="0.25">
      <c r="A8" s="81">
        <f t="shared" si="0"/>
        <v>7</v>
      </c>
      <c r="B8" s="127" t="s">
        <v>238</v>
      </c>
      <c r="C8" s="101" t="str">
        <f t="shared" si="1"/>
        <v>DIO-REC</v>
      </c>
      <c r="D8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1V 1A DO-214AC(SMA) AECQ</v>
      </c>
      <c r="E8" s="174" t="s">
        <v>190</v>
      </c>
      <c r="F8" s="20" t="s">
        <v>266</v>
      </c>
      <c r="G8" s="174" t="s">
        <v>141</v>
      </c>
      <c r="H8" s="174" t="s">
        <v>204</v>
      </c>
      <c r="I8" s="81" t="s">
        <v>244</v>
      </c>
      <c r="J8" s="100" t="s">
        <v>242</v>
      </c>
      <c r="K8" s="81" t="s">
        <v>11</v>
      </c>
      <c r="L8" s="81" t="s">
        <v>10</v>
      </c>
      <c r="M8" s="81" t="s">
        <v>228</v>
      </c>
      <c r="N8" s="81" t="str">
        <f>GenericDiodes80[[#This Row],[Footprint]]</f>
        <v>DO-214AC(SMA)</v>
      </c>
      <c r="O8" s="81" t="s">
        <v>365</v>
      </c>
    </row>
    <row r="9" spans="1:15" s="81" customFormat="1" x14ac:dyDescent="0.25">
      <c r="A9" s="81">
        <f t="shared" si="0"/>
        <v>8</v>
      </c>
      <c r="B9" s="127" t="s">
        <v>247</v>
      </c>
      <c r="C9" s="101" t="str">
        <f t="shared" si="1"/>
        <v>DIO-REC</v>
      </c>
      <c r="D9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SOD-323EP STD</v>
      </c>
      <c r="E9" s="81" t="s">
        <v>190</v>
      </c>
      <c r="F9" s="233" t="s">
        <v>193</v>
      </c>
      <c r="G9" s="81" t="s">
        <v>141</v>
      </c>
      <c r="H9" s="81" t="s">
        <v>1575</v>
      </c>
      <c r="I9" s="81" t="s">
        <v>245</v>
      </c>
      <c r="J9" s="100" t="s">
        <v>222</v>
      </c>
      <c r="K9" s="81" t="s">
        <v>1561</v>
      </c>
      <c r="L9" s="81" t="s">
        <v>10</v>
      </c>
      <c r="M9" s="81" t="s">
        <v>228</v>
      </c>
      <c r="N9" s="81" t="str">
        <f>GenericDiodes80[[#This Row],[Footprint]]</f>
        <v>SOD-323EP</v>
      </c>
      <c r="O9" s="81" t="s">
        <v>249</v>
      </c>
    </row>
    <row r="10" spans="1:15" s="81" customFormat="1" x14ac:dyDescent="0.25">
      <c r="A10" s="81">
        <f t="shared" si="0"/>
        <v>9</v>
      </c>
      <c r="B10" s="127" t="s">
        <v>252</v>
      </c>
      <c r="C10" s="101" t="str">
        <f t="shared" si="1"/>
        <v>DIO-REC</v>
      </c>
      <c r="D10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1000V 1.1V 1A DO-214AC(SMA) STD</v>
      </c>
      <c r="E10" s="81" t="s">
        <v>253</v>
      </c>
      <c r="F10" s="233" t="s">
        <v>193</v>
      </c>
      <c r="G10" s="81" t="s">
        <v>141</v>
      </c>
      <c r="H10" s="81" t="s">
        <v>204</v>
      </c>
      <c r="I10" s="81" t="s">
        <v>1051</v>
      </c>
      <c r="J10" s="100" t="s">
        <v>34</v>
      </c>
      <c r="K10" s="81" t="s">
        <v>1561</v>
      </c>
      <c r="L10" s="81" t="s">
        <v>10</v>
      </c>
      <c r="M10" s="81" t="s">
        <v>228</v>
      </c>
      <c r="N10" s="81" t="str">
        <f>GenericDiodes80[[#This Row],[Footprint]]</f>
        <v>DO-214AC(SMA)</v>
      </c>
    </row>
    <row r="11" spans="1:15" s="81" customFormat="1" x14ac:dyDescent="0.25">
      <c r="A11" s="81">
        <f t="shared" si="0"/>
        <v>10</v>
      </c>
      <c r="B11" s="127" t="s">
        <v>252</v>
      </c>
      <c r="C11" s="101" t="str">
        <f t="shared" si="1"/>
        <v>DIO-REC</v>
      </c>
      <c r="D11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1000V 1.1V 1A DO-214AC(SMA) AECQ</v>
      </c>
      <c r="E11" s="81" t="s">
        <v>253</v>
      </c>
      <c r="F11" s="233" t="s">
        <v>193</v>
      </c>
      <c r="G11" s="81" t="s">
        <v>141</v>
      </c>
      <c r="H11" s="81" t="s">
        <v>204</v>
      </c>
      <c r="I11" s="81" t="s">
        <v>254</v>
      </c>
      <c r="J11" s="100" t="s">
        <v>34</v>
      </c>
      <c r="K11" s="81" t="s">
        <v>11</v>
      </c>
      <c r="L11" s="81" t="s">
        <v>10</v>
      </c>
      <c r="M11" s="81" t="s">
        <v>228</v>
      </c>
      <c r="N11" s="81" t="str">
        <f>GenericDiodes80[[#This Row],[Footprint]]</f>
        <v>DO-214AC(SMA)</v>
      </c>
    </row>
    <row r="12" spans="1:15" s="81" customFormat="1" x14ac:dyDescent="0.25">
      <c r="A12" s="219">
        <f t="shared" si="0"/>
        <v>11</v>
      </c>
      <c r="B12" s="127" t="s">
        <v>283</v>
      </c>
      <c r="C12" s="101" t="str">
        <f t="shared" si="1"/>
        <v>DIO-REC</v>
      </c>
      <c r="D12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1.15V 3A DO-214AA(SMB) AECQ</v>
      </c>
      <c r="E12" s="81" t="s">
        <v>190</v>
      </c>
      <c r="F12" s="103" t="s">
        <v>284</v>
      </c>
      <c r="G12" s="81" t="s">
        <v>285</v>
      </c>
      <c r="H12" s="81" t="s">
        <v>69</v>
      </c>
      <c r="I12" s="81" t="s">
        <v>282</v>
      </c>
      <c r="J12" s="100" t="s">
        <v>222</v>
      </c>
      <c r="K12" s="81" t="s">
        <v>11</v>
      </c>
      <c r="L12" s="81" t="s">
        <v>10</v>
      </c>
      <c r="M12" s="81" t="s">
        <v>198</v>
      </c>
      <c r="N12" s="174" t="str">
        <f>GenericDiodes80[[#This Row],[Footprint]]</f>
        <v>DO-214AA(SMB)</v>
      </c>
    </row>
    <row r="13" spans="1:15" s="81" customFormat="1" x14ac:dyDescent="0.25">
      <c r="A13" s="219">
        <f t="shared" si="0"/>
        <v>12</v>
      </c>
      <c r="B13" s="105" t="s">
        <v>283</v>
      </c>
      <c r="C13" s="101" t="str">
        <f t="shared" si="1"/>
        <v>DIO-REC</v>
      </c>
      <c r="D13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1.15V 3A DO-214AA(SMB) STD</v>
      </c>
      <c r="E13" s="81" t="s">
        <v>190</v>
      </c>
      <c r="F13" s="103" t="s">
        <v>284</v>
      </c>
      <c r="G13" s="81" t="s">
        <v>285</v>
      </c>
      <c r="H13" s="81" t="s">
        <v>69</v>
      </c>
      <c r="I13" s="81" t="s">
        <v>286</v>
      </c>
      <c r="J13" s="100" t="s">
        <v>222</v>
      </c>
      <c r="K13" s="81" t="s">
        <v>1561</v>
      </c>
      <c r="L13" s="81" t="s">
        <v>10</v>
      </c>
      <c r="M13" s="81" t="s">
        <v>228</v>
      </c>
      <c r="N13" s="103" t="str">
        <f>GenericDiodes80[[#This Row],[Footprint]]</f>
        <v>DO-214AA(SMB)</v>
      </c>
    </row>
    <row r="14" spans="1:15" s="81" customFormat="1" x14ac:dyDescent="0.25">
      <c r="A14" s="219">
        <f t="shared" si="0"/>
        <v>13</v>
      </c>
      <c r="B14" s="105" t="s">
        <v>291</v>
      </c>
      <c r="C14" s="101" t="str">
        <f t="shared" si="1"/>
        <v>DIO-REC</v>
      </c>
      <c r="D14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AECQ</v>
      </c>
      <c r="E14" s="81" t="s">
        <v>190</v>
      </c>
      <c r="F14" s="233" t="s">
        <v>193</v>
      </c>
      <c r="G14" s="81" t="s">
        <v>141</v>
      </c>
      <c r="H14" s="81" t="s">
        <v>204</v>
      </c>
      <c r="I14" s="81" t="s">
        <v>241</v>
      </c>
      <c r="J14" s="100" t="s">
        <v>34</v>
      </c>
      <c r="K14" s="81" t="s">
        <v>11</v>
      </c>
      <c r="L14" s="81" t="s">
        <v>10</v>
      </c>
      <c r="M14" s="81" t="s">
        <v>228</v>
      </c>
      <c r="N14" s="103" t="str">
        <f>GenericDiodes80[[#This Row],[Footprint]]</f>
        <v>DO-214AC(SMA)</v>
      </c>
      <c r="O14" s="81" t="s">
        <v>249</v>
      </c>
    </row>
    <row r="15" spans="1:15" s="81" customFormat="1" x14ac:dyDescent="0.25">
      <c r="A15" s="219">
        <f t="shared" si="0"/>
        <v>14</v>
      </c>
      <c r="B15" s="105" t="s">
        <v>292</v>
      </c>
      <c r="C15" s="101" t="str">
        <f t="shared" si="1"/>
        <v>DIO-REC</v>
      </c>
      <c r="D15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800V 1.1V 1A DO-214AC(SMA) AECQ</v>
      </c>
      <c r="E15" s="81" t="s">
        <v>293</v>
      </c>
      <c r="F15" s="103" t="s">
        <v>193</v>
      </c>
      <c r="G15" s="81" t="s">
        <v>141</v>
      </c>
      <c r="H15" s="81" t="s">
        <v>204</v>
      </c>
      <c r="I15" s="81" t="s">
        <v>1054</v>
      </c>
      <c r="J15" s="100" t="s">
        <v>34</v>
      </c>
      <c r="K15" s="81" t="s">
        <v>11</v>
      </c>
      <c r="L15" s="81" t="s">
        <v>10</v>
      </c>
      <c r="M15" s="81" t="s">
        <v>228</v>
      </c>
      <c r="N15" s="103" t="str">
        <f>GenericDiodes80[[#This Row],[Footprint]]</f>
        <v>DO-214AC(SMA)</v>
      </c>
    </row>
    <row r="16" spans="1:15" s="81" customFormat="1" x14ac:dyDescent="0.25">
      <c r="A16" s="219">
        <f t="shared" ref="A16:A23" si="2">ROW()-1</f>
        <v>15</v>
      </c>
      <c r="B16" s="105" t="s">
        <v>395</v>
      </c>
      <c r="C16" s="101" t="str">
        <f t="shared" si="1"/>
        <v>DIO-REC</v>
      </c>
      <c r="D16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AECQ</v>
      </c>
      <c r="E16" s="81" t="s">
        <v>190</v>
      </c>
      <c r="F16" s="103" t="s">
        <v>193</v>
      </c>
      <c r="G16" s="81" t="s">
        <v>141</v>
      </c>
      <c r="H16" s="81" t="s">
        <v>204</v>
      </c>
      <c r="I16" s="81" t="s">
        <v>1066</v>
      </c>
      <c r="J16" s="100" t="s">
        <v>34</v>
      </c>
      <c r="K16" s="81" t="s">
        <v>11</v>
      </c>
      <c r="L16" s="81" t="s">
        <v>10</v>
      </c>
      <c r="M16" s="81" t="s">
        <v>228</v>
      </c>
      <c r="N16" s="103" t="str">
        <f>GenericDiodes80[[#This Row],[Footprint]]</f>
        <v>DO-214AC(SMA)</v>
      </c>
    </row>
    <row r="17" spans="1:15" s="81" customFormat="1" x14ac:dyDescent="0.25">
      <c r="A17" s="219">
        <f t="shared" si="2"/>
        <v>16</v>
      </c>
      <c r="B17" s="105" t="s">
        <v>406</v>
      </c>
      <c r="C17" s="101" t="str">
        <f t="shared" si="1"/>
        <v>DIO-REC</v>
      </c>
      <c r="D17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AECQ</v>
      </c>
      <c r="E17" s="81" t="s">
        <v>190</v>
      </c>
      <c r="F17" s="103" t="s">
        <v>193</v>
      </c>
      <c r="G17" s="81" t="s">
        <v>141</v>
      </c>
      <c r="H17" s="81" t="s">
        <v>204</v>
      </c>
      <c r="I17" s="81" t="s">
        <v>241</v>
      </c>
      <c r="J17" s="100" t="s">
        <v>34</v>
      </c>
      <c r="K17" s="81" t="s">
        <v>11</v>
      </c>
      <c r="L17" s="81" t="s">
        <v>10</v>
      </c>
      <c r="M17" s="81" t="s">
        <v>228</v>
      </c>
      <c r="N17" s="103" t="str">
        <f>GenericDiodes80[[#This Row],[Footprint]]</f>
        <v>DO-214AC(SMA)</v>
      </c>
      <c r="O17" s="30" t="s">
        <v>1019</v>
      </c>
    </row>
    <row r="18" spans="1:15" s="81" customFormat="1" x14ac:dyDescent="0.25">
      <c r="A18" s="219">
        <f t="shared" si="2"/>
        <v>17</v>
      </c>
      <c r="B18" s="105" t="s">
        <v>406</v>
      </c>
      <c r="C18" s="101" t="str">
        <f t="shared" si="1"/>
        <v>DIO-REC</v>
      </c>
      <c r="D18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AECQ</v>
      </c>
      <c r="E18" s="81" t="s">
        <v>190</v>
      </c>
      <c r="F18" s="103" t="s">
        <v>193</v>
      </c>
      <c r="G18" s="81" t="s">
        <v>141</v>
      </c>
      <c r="H18" s="81" t="s">
        <v>204</v>
      </c>
      <c r="I18" s="81" t="s">
        <v>1014</v>
      </c>
      <c r="J18" s="100" t="s">
        <v>34</v>
      </c>
      <c r="K18" s="81" t="s">
        <v>11</v>
      </c>
      <c r="L18" s="81" t="s">
        <v>10</v>
      </c>
      <c r="M18" s="81" t="s">
        <v>228</v>
      </c>
      <c r="N18" s="103" t="str">
        <f>GenericDiodes80[[#This Row],[Footprint]]</f>
        <v>DO-214AC(SMA)</v>
      </c>
      <c r="O18" s="30" t="s">
        <v>1020</v>
      </c>
    </row>
    <row r="19" spans="1:15" s="81" customFormat="1" x14ac:dyDescent="0.25">
      <c r="A19" s="219">
        <f t="shared" si="2"/>
        <v>18</v>
      </c>
      <c r="B19" s="105" t="s">
        <v>406</v>
      </c>
      <c r="C19" s="101" t="str">
        <f t="shared" si="1"/>
        <v>DIO-REC</v>
      </c>
      <c r="D19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600V 1.1V 1A DO-214AC(SMA) AECQ</v>
      </c>
      <c r="E19" s="81" t="s">
        <v>190</v>
      </c>
      <c r="F19" s="103" t="s">
        <v>193</v>
      </c>
      <c r="G19" s="81" t="s">
        <v>141</v>
      </c>
      <c r="H19" s="81" t="s">
        <v>204</v>
      </c>
      <c r="I19" s="81" t="s">
        <v>1066</v>
      </c>
      <c r="J19" s="100" t="s">
        <v>34</v>
      </c>
      <c r="K19" s="81" t="s">
        <v>11</v>
      </c>
      <c r="L19" s="81" t="s">
        <v>10</v>
      </c>
      <c r="M19" s="81" t="s">
        <v>228</v>
      </c>
      <c r="N19" s="103" t="str">
        <f>GenericDiodes80[[#This Row],[Footprint]]</f>
        <v>DO-214AC(SMA)</v>
      </c>
    </row>
    <row r="20" spans="1:15" s="81" customFormat="1" x14ac:dyDescent="0.25">
      <c r="A20" s="219">
        <f t="shared" si="2"/>
        <v>19</v>
      </c>
      <c r="B20" s="105" t="s">
        <v>1067</v>
      </c>
      <c r="C20" s="101" t="str">
        <f t="shared" si="1"/>
        <v>DIO-REC</v>
      </c>
      <c r="D20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200V 1.15V 0.5A DO-219AB(SMF) AECQ</v>
      </c>
      <c r="E20" s="81" t="s">
        <v>265</v>
      </c>
      <c r="F20" s="103" t="s">
        <v>284</v>
      </c>
      <c r="G20" s="81" t="s">
        <v>1015</v>
      </c>
      <c r="H20" s="81" t="s">
        <v>205</v>
      </c>
      <c r="I20" s="81" t="s">
        <v>1017</v>
      </c>
      <c r="J20" s="100" t="s">
        <v>34</v>
      </c>
      <c r="K20" s="81" t="s">
        <v>11</v>
      </c>
      <c r="L20" s="81" t="s">
        <v>10</v>
      </c>
      <c r="M20" s="81" t="s">
        <v>198</v>
      </c>
      <c r="N20" s="103" t="str">
        <f>GenericDiodes80[[#This Row],[Footprint]]</f>
        <v>DO-219AB(SMF)</v>
      </c>
    </row>
    <row r="21" spans="1:15" s="81" customFormat="1" x14ac:dyDescent="0.25">
      <c r="A21" s="219">
        <f t="shared" si="2"/>
        <v>20</v>
      </c>
      <c r="B21" s="105" t="s">
        <v>1067</v>
      </c>
      <c r="C21" s="101" t="str">
        <f t="shared" si="1"/>
        <v>DIO-REC</v>
      </c>
      <c r="D21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200V 1.15V 0.5A DO-219AB(SMF) AECQ</v>
      </c>
      <c r="E21" s="81" t="s">
        <v>265</v>
      </c>
      <c r="F21" s="103" t="s">
        <v>284</v>
      </c>
      <c r="G21" s="81" t="s">
        <v>1015</v>
      </c>
      <c r="H21" s="81" t="s">
        <v>205</v>
      </c>
      <c r="I21" s="81" t="s">
        <v>1016</v>
      </c>
      <c r="J21" s="100" t="s">
        <v>34</v>
      </c>
      <c r="K21" s="81" t="s">
        <v>11</v>
      </c>
      <c r="L21" s="81" t="s">
        <v>10</v>
      </c>
      <c r="M21" s="81" t="s">
        <v>198</v>
      </c>
      <c r="N21" s="103" t="str">
        <f>GenericDiodes80[[#This Row],[Footprint]]</f>
        <v>DO-219AB(SMF)</v>
      </c>
      <c r="O21" s="30" t="s">
        <v>1021</v>
      </c>
    </row>
    <row r="22" spans="1:15" s="81" customFormat="1" x14ac:dyDescent="0.25">
      <c r="A22" s="219">
        <f t="shared" si="2"/>
        <v>21</v>
      </c>
      <c r="B22" s="105" t="s">
        <v>1068</v>
      </c>
      <c r="C22" s="101" t="str">
        <f t="shared" si="1"/>
        <v>DIO-REC</v>
      </c>
      <c r="D22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200V 0.9V 3A DO-214AB(SMC) STD</v>
      </c>
      <c r="E22" s="81" t="s">
        <v>265</v>
      </c>
      <c r="F22" s="103" t="s">
        <v>1069</v>
      </c>
      <c r="G22" s="81" t="s">
        <v>285</v>
      </c>
      <c r="H22" s="103" t="s">
        <v>203</v>
      </c>
      <c r="I22" s="81" t="s">
        <v>1070</v>
      </c>
      <c r="J22" s="100" t="s">
        <v>34</v>
      </c>
      <c r="K22" s="81" t="s">
        <v>1561</v>
      </c>
      <c r="L22" s="81" t="s">
        <v>10</v>
      </c>
      <c r="N22" s="103" t="str">
        <f>GenericDiodes80[[#This Row],[Footprint]]</f>
        <v>DO-214AB(SMC)</v>
      </c>
    </row>
    <row r="23" spans="1:15" s="81" customFormat="1" x14ac:dyDescent="0.25">
      <c r="A23" s="219">
        <f t="shared" si="2"/>
        <v>22</v>
      </c>
      <c r="B23" s="105" t="s">
        <v>1068</v>
      </c>
      <c r="C23" s="101" t="str">
        <f t="shared" si="1"/>
        <v>DIO-REC</v>
      </c>
      <c r="D23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200V 0.9V 3A DO-214AB(SMC) STD</v>
      </c>
      <c r="E23" s="81" t="s">
        <v>265</v>
      </c>
      <c r="F23" s="103" t="s">
        <v>1069</v>
      </c>
      <c r="G23" s="81" t="s">
        <v>285</v>
      </c>
      <c r="H23" s="103" t="s">
        <v>203</v>
      </c>
      <c r="I23" s="81" t="s">
        <v>1071</v>
      </c>
      <c r="J23" s="100" t="s">
        <v>34</v>
      </c>
      <c r="K23" s="81" t="s">
        <v>1561</v>
      </c>
      <c r="L23" s="81" t="s">
        <v>10</v>
      </c>
      <c r="N23" s="103" t="str">
        <f>GenericDiodes80[[#This Row],[Footprint]]</f>
        <v>DO-214AB(SMC)</v>
      </c>
    </row>
    <row r="24" spans="1:15" x14ac:dyDescent="0.25">
      <c r="A24" s="219">
        <f>ROW()-1</f>
        <v>23</v>
      </c>
      <c r="B24" s="105" t="s">
        <v>1074</v>
      </c>
      <c r="C24" s="101" t="str">
        <f t="shared" si="1"/>
        <v>DIO-REC</v>
      </c>
      <c r="D24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400V 0.98V 1A SOD-123FL AECQ</v>
      </c>
      <c r="E24" s="81" t="s">
        <v>191</v>
      </c>
      <c r="F24" s="103" t="s">
        <v>1075</v>
      </c>
      <c r="G24" s="81" t="s">
        <v>141</v>
      </c>
      <c r="H24" s="81" t="s">
        <v>213</v>
      </c>
      <c r="I24" s="81" t="s">
        <v>1076</v>
      </c>
      <c r="J24" s="100" t="s">
        <v>31</v>
      </c>
      <c r="K24" s="81" t="s">
        <v>11</v>
      </c>
      <c r="L24" s="81" t="s">
        <v>10</v>
      </c>
      <c r="M24" s="81"/>
      <c r="N24" s="103" t="str">
        <f>GenericDiodes80[[#This Row],[Footprint]]</f>
        <v>SOD-123FL</v>
      </c>
      <c r="O24" s="81"/>
    </row>
    <row r="25" spans="1:15" x14ac:dyDescent="0.25">
      <c r="A25" s="219">
        <f>ROW()-1</f>
        <v>24</v>
      </c>
      <c r="B25" s="105" t="s">
        <v>1077</v>
      </c>
      <c r="C25" s="101" t="str">
        <f t="shared" si="1"/>
        <v>DIO-REC</v>
      </c>
      <c r="D25" s="102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>DIO-REC 400V 1.1V 0.7A SOD-123FL AECQ</v>
      </c>
      <c r="E25" s="81" t="s">
        <v>191</v>
      </c>
      <c r="F25" s="103" t="s">
        <v>193</v>
      </c>
      <c r="G25" s="81" t="s">
        <v>1078</v>
      </c>
      <c r="H25" s="81" t="s">
        <v>213</v>
      </c>
      <c r="I25" s="81" t="s">
        <v>1079</v>
      </c>
      <c r="J25" s="100" t="s">
        <v>31</v>
      </c>
      <c r="K25" s="81" t="s">
        <v>11</v>
      </c>
      <c r="L25" s="81" t="s">
        <v>10</v>
      </c>
      <c r="M25" s="81"/>
      <c r="N25" s="103" t="str">
        <f>GenericDiodes80[[#This Row],[Footprint]]</f>
        <v>SOD-123FL</v>
      </c>
      <c r="O25" s="81"/>
    </row>
    <row r="26" spans="1:15" x14ac:dyDescent="0.25">
      <c r="A26" s="239"/>
      <c r="B26" s="240"/>
      <c r="C26" s="103" t="str">
        <f>"DIO-REC"</f>
        <v>DIO-REC</v>
      </c>
      <c r="D26" s="104" t="str">
        <f>CONCATENATE(GenericDiodes80[[#This Row],[Category]]," ",GenericDiodes80[[#This Row],[Max Peak Reverse Voltage(V)]]," ",GenericDiodes80[[#This Row],[Max Forward Voltage(V)]]," ",GenericDiodes80[[#This Row],[Max Forward Current(A)]]," ",GenericDiodes80[[#This Row],[Footprint]]," ",GenericDiodes80[[#This Row],[Rating]])</f>
        <v xml:space="preserve">DIO-REC     </v>
      </c>
      <c r="E26" s="81"/>
      <c r="F26" s="103"/>
      <c r="G26" s="81"/>
      <c r="H26" s="81"/>
      <c r="I26" s="81"/>
      <c r="J26" s="100"/>
      <c r="K26" s="81"/>
      <c r="L26" s="81"/>
      <c r="M26" s="81"/>
      <c r="N26" s="103">
        <f>GenericDiodes80[[#This Row],[Footprint]]</f>
        <v>0</v>
      </c>
      <c r="O26" s="81"/>
    </row>
  </sheetData>
  <dataValidations count="5">
    <dataValidation type="list" allowBlank="1" showInputMessage="1" showErrorMessage="1" sqref="J2:J1048576">
      <formula1>Manufacturers_Diodes</formula1>
    </dataValidation>
    <dataValidation type="list" allowBlank="1" showInputMessage="1" showErrorMessage="1" sqref="M2:M1048576">
      <formula1>Symbols_Diodes</formula1>
    </dataValidation>
    <dataValidation type="list" allowBlank="1" showInputMessage="1" showErrorMessage="1" sqref="K2:K1048576">
      <formula1>Rating_List</formula1>
    </dataValidation>
    <dataValidation type="list" allowBlank="1" showInputMessage="1" showErrorMessage="1" sqref="H2:H26">
      <formula1>Footprints_Diodes</formula1>
    </dataValidation>
    <dataValidation type="list" allowBlank="1" showInputMessage="1" showErrorMessage="1" sqref="L2:L26">
      <formula1>Process_List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'Rating&amp;Process List'!#REF!</xm:f>
          </x14:formula1>
          <xm:sqref>N26:N1048576</xm:sqref>
        </x14:dataValidation>
        <x14:dataValidation type="list" allowBlank="1" showInputMessage="1" showErrorMessage="1">
          <x14:formula1>
            <xm:f>'Rating&amp;Process List'!$C$3:$C$4</xm:f>
          </x14:formula1>
          <xm:sqref>L27:L1048576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8"/>
  <sheetViews>
    <sheetView zoomScaleNormal="100" workbookViewId="0">
      <selection activeCell="D3" sqref="D3:D13"/>
    </sheetView>
  </sheetViews>
  <sheetFormatPr defaultColWidth="9.140625" defaultRowHeight="15" x14ac:dyDescent="0.25"/>
  <cols>
    <col min="1" max="1" width="7.28515625" style="1" bestFit="1" customWidth="1"/>
    <col min="2" max="2" width="12.140625" style="55" customWidth="1"/>
    <col min="3" max="3" width="16.85546875" style="1" bestFit="1" customWidth="1"/>
    <col min="4" max="4" width="49.140625" style="1" bestFit="1" customWidth="1"/>
    <col min="5" max="5" width="30" style="1" bestFit="1" customWidth="1"/>
    <col min="6" max="6" width="27.5703125" style="1" bestFit="1" customWidth="1"/>
    <col min="7" max="7" width="25.140625" style="1" bestFit="1" customWidth="1"/>
    <col min="8" max="8" width="21.42578125" style="1" bestFit="1" customWidth="1"/>
    <col min="9" max="9" width="14.5703125" style="1" bestFit="1" customWidth="1"/>
    <col min="10" max="10" width="23.5703125" style="27" customWidth="1"/>
    <col min="11" max="11" width="12.5703125" customWidth="1"/>
    <col min="12" max="12" width="10" style="1" bestFit="1" customWidth="1"/>
    <col min="13" max="13" width="37.85546875" style="1" bestFit="1" customWidth="1"/>
    <col min="14" max="14" width="29" style="1" customWidth="1"/>
    <col min="15" max="15" width="69.28515625" style="1" bestFit="1" customWidth="1"/>
    <col min="16" max="16384" width="9.140625" style="1"/>
  </cols>
  <sheetData>
    <row r="1" spans="1:15" customFormat="1" x14ac:dyDescent="0.25">
      <c r="A1" s="47" t="s">
        <v>0</v>
      </c>
      <c r="B1" s="126" t="s">
        <v>67</v>
      </c>
      <c r="C1" s="47" t="s">
        <v>7</v>
      </c>
      <c r="D1" s="47" t="s">
        <v>8</v>
      </c>
      <c r="E1" s="29" t="s">
        <v>1572</v>
      </c>
      <c r="F1" s="56" t="s">
        <v>1573</v>
      </c>
      <c r="G1" s="29" t="s">
        <v>1574</v>
      </c>
      <c r="H1" s="16" t="s">
        <v>18</v>
      </c>
      <c r="I1" s="16" t="s">
        <v>2</v>
      </c>
      <c r="J1" s="31" t="s">
        <v>1</v>
      </c>
      <c r="K1" s="16" t="s">
        <v>6</v>
      </c>
      <c r="L1" s="16" t="s">
        <v>5</v>
      </c>
      <c r="M1" s="16" t="s">
        <v>3</v>
      </c>
      <c r="N1" s="26" t="s">
        <v>4</v>
      </c>
      <c r="O1" s="32" t="s">
        <v>248</v>
      </c>
    </row>
    <row r="2" spans="1:15" s="81" customFormat="1" x14ac:dyDescent="0.25">
      <c r="A2" s="219">
        <f t="shared" ref="A2:A11" si="0">ROW()-1</f>
        <v>1</v>
      </c>
      <c r="B2" s="127" t="s">
        <v>264</v>
      </c>
      <c r="C2" s="101" t="str">
        <f t="shared" ref="C2:C17" si="1">"DIO-SW"</f>
        <v>DIO-SW</v>
      </c>
      <c r="D2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250V 1V 0.2A SOT-23 AECQ</v>
      </c>
      <c r="E2" s="81" t="s">
        <v>268</v>
      </c>
      <c r="F2" s="81" t="s">
        <v>266</v>
      </c>
      <c r="G2" s="81" t="s">
        <v>142</v>
      </c>
      <c r="H2" s="81" t="s">
        <v>327</v>
      </c>
      <c r="I2" s="81" t="s">
        <v>262</v>
      </c>
      <c r="J2" s="100" t="s">
        <v>261</v>
      </c>
      <c r="K2" s="81" t="s">
        <v>11</v>
      </c>
      <c r="L2" s="81" t="s">
        <v>10</v>
      </c>
      <c r="M2" s="81" t="s">
        <v>263</v>
      </c>
      <c r="N2" s="103" t="str">
        <f>GenericDiodes[[#This Row],[Footprint]]</f>
        <v>SOT-23</v>
      </c>
    </row>
    <row r="3" spans="1:15" s="81" customFormat="1" x14ac:dyDescent="0.25">
      <c r="A3" s="219">
        <f t="shared" si="0"/>
        <v>2</v>
      </c>
      <c r="B3" s="127" t="s">
        <v>264</v>
      </c>
      <c r="C3" s="101" t="str">
        <f t="shared" si="1"/>
        <v>DIO-SW</v>
      </c>
      <c r="D3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200V 1.25V 0.4A SOT-23 AECQ</v>
      </c>
      <c r="E3" s="81" t="s">
        <v>265</v>
      </c>
      <c r="F3" s="81" t="s">
        <v>269</v>
      </c>
      <c r="G3" s="128" t="s">
        <v>288</v>
      </c>
      <c r="H3" s="81" t="s">
        <v>327</v>
      </c>
      <c r="I3" s="81" t="s">
        <v>267</v>
      </c>
      <c r="J3" s="100" t="s">
        <v>68</v>
      </c>
      <c r="K3" s="81" t="s">
        <v>11</v>
      </c>
      <c r="L3" s="81" t="s">
        <v>10</v>
      </c>
      <c r="M3" s="81" t="s">
        <v>263</v>
      </c>
      <c r="N3" s="103" t="str">
        <f>GenericDiodes[[#This Row],[Footprint]]</f>
        <v>SOT-23</v>
      </c>
    </row>
    <row r="4" spans="1:15" s="81" customFormat="1" x14ac:dyDescent="0.25">
      <c r="A4" s="219">
        <f t="shared" si="0"/>
        <v>3</v>
      </c>
      <c r="B4" s="127" t="s">
        <v>264</v>
      </c>
      <c r="C4" s="101" t="str">
        <f t="shared" si="1"/>
        <v>DIO-SW</v>
      </c>
      <c r="D4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200V 1.25V 0.2A SOT-23 STD</v>
      </c>
      <c r="E4" s="81" t="s">
        <v>265</v>
      </c>
      <c r="F4" s="81" t="s">
        <v>269</v>
      </c>
      <c r="G4" s="81" t="s">
        <v>142</v>
      </c>
      <c r="H4" s="81" t="s">
        <v>327</v>
      </c>
      <c r="I4" s="81" t="s">
        <v>1052</v>
      </c>
      <c r="J4" s="100" t="s">
        <v>170</v>
      </c>
      <c r="K4" s="81" t="s">
        <v>1561</v>
      </c>
      <c r="L4" s="81" t="s">
        <v>10</v>
      </c>
      <c r="N4" s="103" t="str">
        <f>GenericDiodes[[#This Row],[Footprint]]</f>
        <v>SOT-23</v>
      </c>
      <c r="O4" s="81" t="s">
        <v>1053</v>
      </c>
    </row>
    <row r="5" spans="1:15" s="81" customFormat="1" x14ac:dyDescent="0.25">
      <c r="A5" s="219">
        <f t="shared" si="0"/>
        <v>4</v>
      </c>
      <c r="B5" s="127" t="s">
        <v>264</v>
      </c>
      <c r="C5" s="101" t="str">
        <f t="shared" si="1"/>
        <v>DIO-SW</v>
      </c>
      <c r="D5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250V 1.25V 0.2A SOT-23 AECQ</v>
      </c>
      <c r="E5" s="81" t="s">
        <v>268</v>
      </c>
      <c r="F5" s="81" t="s">
        <v>269</v>
      </c>
      <c r="G5" s="81" t="s">
        <v>142</v>
      </c>
      <c r="H5" s="81" t="s">
        <v>327</v>
      </c>
      <c r="I5" s="81" t="s">
        <v>270</v>
      </c>
      <c r="J5" s="100" t="s">
        <v>222</v>
      </c>
      <c r="K5" s="81" t="s">
        <v>11</v>
      </c>
      <c r="L5" s="81" t="s">
        <v>10</v>
      </c>
      <c r="M5" s="81" t="s">
        <v>263</v>
      </c>
      <c r="N5" s="103" t="str">
        <f>GenericDiodes[[#This Row],[Footprint]]</f>
        <v>SOT-23</v>
      </c>
    </row>
    <row r="6" spans="1:15" s="81" customFormat="1" x14ac:dyDescent="0.25">
      <c r="A6" s="219">
        <f t="shared" si="0"/>
        <v>5</v>
      </c>
      <c r="B6" s="105" t="s">
        <v>295</v>
      </c>
      <c r="C6" s="101" t="str">
        <f t="shared" si="1"/>
        <v>DIO-SW</v>
      </c>
      <c r="D6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75V 1.25V 0.125A SOT-23 STD</v>
      </c>
      <c r="E6" s="81" t="s">
        <v>297</v>
      </c>
      <c r="F6" s="81" t="s">
        <v>269</v>
      </c>
      <c r="G6" s="81" t="s">
        <v>298</v>
      </c>
      <c r="H6" s="81" t="s">
        <v>327</v>
      </c>
      <c r="I6" s="81" t="s">
        <v>1055</v>
      </c>
      <c r="J6" s="100" t="s">
        <v>170</v>
      </c>
      <c r="K6" s="81" t="s">
        <v>1561</v>
      </c>
      <c r="L6" s="81" t="s">
        <v>10</v>
      </c>
      <c r="M6" s="81" t="s">
        <v>296</v>
      </c>
      <c r="N6" s="103" t="str">
        <f>GenericDiodes[[#This Row],[Footprint]]</f>
        <v>SOT-23</v>
      </c>
    </row>
    <row r="7" spans="1:15" s="81" customFormat="1" x14ac:dyDescent="0.25">
      <c r="A7" s="219">
        <f t="shared" si="0"/>
        <v>6</v>
      </c>
      <c r="B7" s="105" t="s">
        <v>295</v>
      </c>
      <c r="C7" s="101" t="str">
        <f t="shared" si="1"/>
        <v>DIO-SW</v>
      </c>
      <c r="D7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85V 1.25V 0.15A SOT-23 AECQ</v>
      </c>
      <c r="E7" s="81" t="s">
        <v>299</v>
      </c>
      <c r="F7" s="81" t="s">
        <v>269</v>
      </c>
      <c r="G7" s="81" t="s">
        <v>300</v>
      </c>
      <c r="H7" s="81" t="s">
        <v>327</v>
      </c>
      <c r="I7" s="81" t="s">
        <v>1013</v>
      </c>
      <c r="J7" s="100" t="s">
        <v>68</v>
      </c>
      <c r="K7" s="81" t="s">
        <v>11</v>
      </c>
      <c r="L7" s="81" t="s">
        <v>10</v>
      </c>
      <c r="M7" s="81" t="s">
        <v>296</v>
      </c>
      <c r="N7" s="103" t="str">
        <f>GenericDiodes[[#This Row],[Footprint]]</f>
        <v>SOT-23</v>
      </c>
    </row>
    <row r="8" spans="1:15" s="81" customFormat="1" x14ac:dyDescent="0.25">
      <c r="A8" s="219">
        <f t="shared" si="0"/>
        <v>7</v>
      </c>
      <c r="B8" s="105" t="s">
        <v>295</v>
      </c>
      <c r="C8" s="101" t="str">
        <f t="shared" si="1"/>
        <v>DIO-SW</v>
      </c>
      <c r="D8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75V 1.25V 0.32A DFN1010D-3 (SOT1215) AECQ</v>
      </c>
      <c r="E8" s="81" t="s">
        <v>297</v>
      </c>
      <c r="F8" s="81" t="s">
        <v>269</v>
      </c>
      <c r="G8" s="81" t="s">
        <v>1056</v>
      </c>
      <c r="H8" s="81" t="s">
        <v>301</v>
      </c>
      <c r="I8" s="81" t="s">
        <v>1057</v>
      </c>
      <c r="J8" s="100" t="s">
        <v>223</v>
      </c>
      <c r="K8" s="81" t="s">
        <v>11</v>
      </c>
      <c r="L8" s="81" t="s">
        <v>10</v>
      </c>
      <c r="M8" s="81" t="s">
        <v>296</v>
      </c>
      <c r="N8" s="103" t="str">
        <f>GenericDiodes[[#This Row],[Footprint]]</f>
        <v>DFN1010D-3 (SOT1215)</v>
      </c>
    </row>
    <row r="9" spans="1:15" s="81" customFormat="1" x14ac:dyDescent="0.25">
      <c r="A9" s="219">
        <f t="shared" si="0"/>
        <v>8</v>
      </c>
      <c r="B9" s="105" t="s">
        <v>295</v>
      </c>
      <c r="C9" s="101" t="str">
        <f t="shared" si="1"/>
        <v>DIO-SW</v>
      </c>
      <c r="D9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70V 1.1V 0.215A SOT-23 STD</v>
      </c>
      <c r="E9" s="81" t="s">
        <v>1058</v>
      </c>
      <c r="F9" s="81" t="s">
        <v>193</v>
      </c>
      <c r="G9" s="81" t="s">
        <v>353</v>
      </c>
      <c r="H9" s="81" t="s">
        <v>327</v>
      </c>
      <c r="I9" s="81" t="s">
        <v>1059</v>
      </c>
      <c r="J9" s="100" t="s">
        <v>223</v>
      </c>
      <c r="K9" s="81" t="s">
        <v>1561</v>
      </c>
      <c r="L9" s="81" t="s">
        <v>10</v>
      </c>
      <c r="M9" s="81" t="s">
        <v>296</v>
      </c>
      <c r="N9" s="103" t="str">
        <f>GenericDiodes[[#This Row],[Footprint]]</f>
        <v>SOT-23</v>
      </c>
      <c r="O9" s="81" t="s">
        <v>302</v>
      </c>
    </row>
    <row r="10" spans="1:15" s="81" customFormat="1" x14ac:dyDescent="0.25">
      <c r="A10" s="219">
        <f t="shared" si="0"/>
        <v>9</v>
      </c>
      <c r="B10" s="105" t="s">
        <v>295</v>
      </c>
      <c r="C10" s="101" t="str">
        <f t="shared" si="1"/>
        <v>DIO-SW</v>
      </c>
      <c r="D10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75V 1.25V 0.215A SOT-23 AECQ</v>
      </c>
      <c r="E10" s="81" t="s">
        <v>297</v>
      </c>
      <c r="F10" s="81" t="s">
        <v>269</v>
      </c>
      <c r="G10" s="81" t="s">
        <v>353</v>
      </c>
      <c r="H10" s="81" t="s">
        <v>327</v>
      </c>
      <c r="I10" s="81" t="s">
        <v>1060</v>
      </c>
      <c r="J10" s="100" t="s">
        <v>170</v>
      </c>
      <c r="K10" s="81" t="s">
        <v>11</v>
      </c>
      <c r="L10" s="81" t="s">
        <v>10</v>
      </c>
      <c r="M10" s="81" t="s">
        <v>296</v>
      </c>
      <c r="N10" s="103" t="str">
        <f>GenericDiodes[[#This Row],[Footprint]]</f>
        <v>SOT-23</v>
      </c>
    </row>
    <row r="11" spans="1:15" s="81" customFormat="1" x14ac:dyDescent="0.25">
      <c r="A11" s="219">
        <f t="shared" si="0"/>
        <v>10</v>
      </c>
      <c r="B11" s="105" t="s">
        <v>295</v>
      </c>
      <c r="C11" s="101" t="str">
        <f t="shared" si="1"/>
        <v>DIO-SW</v>
      </c>
      <c r="D11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100V 1.25V 0.2A SOT-23 AECQ</v>
      </c>
      <c r="E11" s="81" t="s">
        <v>57</v>
      </c>
      <c r="F11" s="81" t="s">
        <v>269</v>
      </c>
      <c r="G11" s="81" t="s">
        <v>142</v>
      </c>
      <c r="H11" s="81" t="s">
        <v>327</v>
      </c>
      <c r="I11" s="129" t="s">
        <v>1061</v>
      </c>
      <c r="J11" s="100" t="s">
        <v>222</v>
      </c>
      <c r="K11" s="81" t="s">
        <v>11</v>
      </c>
      <c r="L11" s="81" t="s">
        <v>10</v>
      </c>
      <c r="M11" s="81" t="s">
        <v>263</v>
      </c>
      <c r="N11" s="103" t="str">
        <f>GenericDiodes[[#This Row],[Footprint]]</f>
        <v>SOT-23</v>
      </c>
      <c r="O11" s="81" t="s">
        <v>1062</v>
      </c>
    </row>
    <row r="12" spans="1:15" s="81" customFormat="1" x14ac:dyDescent="0.25">
      <c r="A12" s="219">
        <v>27</v>
      </c>
      <c r="B12" s="105" t="s">
        <v>295</v>
      </c>
      <c r="C12" s="101" t="str">
        <f t="shared" si="1"/>
        <v>DIO-SW</v>
      </c>
      <c r="D12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75V 1.25V 0.32A DFN1010D-3 (SOT1215) AECQ</v>
      </c>
      <c r="E12" s="81" t="s">
        <v>297</v>
      </c>
      <c r="F12" s="81" t="s">
        <v>269</v>
      </c>
      <c r="G12" s="81" t="s">
        <v>1056</v>
      </c>
      <c r="H12" s="81" t="s">
        <v>301</v>
      </c>
      <c r="I12" s="81" t="s">
        <v>1057</v>
      </c>
      <c r="J12" s="100" t="s">
        <v>170</v>
      </c>
      <c r="K12" s="81" t="s">
        <v>11</v>
      </c>
      <c r="L12" s="81" t="s">
        <v>10</v>
      </c>
      <c r="M12" s="81" t="s">
        <v>296</v>
      </c>
      <c r="N12" s="103" t="str">
        <f>GenericDiodes[[#This Row],[Footprint]]</f>
        <v>DFN1010D-3 (SOT1215)</v>
      </c>
      <c r="O12" s="81" t="s">
        <v>1063</v>
      </c>
    </row>
    <row r="13" spans="1:15" s="81" customFormat="1" x14ac:dyDescent="0.25">
      <c r="A13" s="219">
        <v>28</v>
      </c>
      <c r="B13" s="105" t="s">
        <v>295</v>
      </c>
      <c r="C13" s="101" t="str">
        <f t="shared" si="1"/>
        <v>DIO-SW</v>
      </c>
      <c r="D13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75V 1.25V 0.32A DFN1010D-3 (SOT1215) AECQ</v>
      </c>
      <c r="E13" s="81" t="s">
        <v>297</v>
      </c>
      <c r="F13" s="81" t="s">
        <v>269</v>
      </c>
      <c r="G13" s="81" t="s">
        <v>1056</v>
      </c>
      <c r="H13" s="81" t="s">
        <v>301</v>
      </c>
      <c r="I13" s="81" t="s">
        <v>336</v>
      </c>
      <c r="J13" s="100" t="s">
        <v>170</v>
      </c>
      <c r="K13" s="81" t="s">
        <v>11</v>
      </c>
      <c r="L13" s="81" t="s">
        <v>10</v>
      </c>
      <c r="M13" s="81" t="s">
        <v>296</v>
      </c>
      <c r="N13" s="103" t="str">
        <f>GenericDiodes[[#This Row],[Footprint]]</f>
        <v>DFN1010D-3 (SOT1215)</v>
      </c>
      <c r="O13" s="81" t="s">
        <v>337</v>
      </c>
    </row>
    <row r="14" spans="1:15" s="81" customFormat="1" x14ac:dyDescent="0.25">
      <c r="A14" s="219">
        <f t="shared" ref="A14:A17" si="2">ROW()-1</f>
        <v>13</v>
      </c>
      <c r="B14" s="105" t="s">
        <v>350</v>
      </c>
      <c r="C14" s="101" t="str">
        <f t="shared" si="1"/>
        <v>DIO-SW</v>
      </c>
      <c r="D14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100V 1.25V 0.215A SOT-23 STD</v>
      </c>
      <c r="E14" s="81" t="s">
        <v>57</v>
      </c>
      <c r="F14" s="81" t="s">
        <v>269</v>
      </c>
      <c r="G14" s="81" t="s">
        <v>353</v>
      </c>
      <c r="H14" s="81" t="s">
        <v>327</v>
      </c>
      <c r="I14" s="81" t="s">
        <v>351</v>
      </c>
      <c r="J14" s="100" t="s">
        <v>170</v>
      </c>
      <c r="K14" s="81" t="s">
        <v>1561</v>
      </c>
      <c r="L14" s="81" t="s">
        <v>10</v>
      </c>
      <c r="M14" s="81" t="s">
        <v>263</v>
      </c>
      <c r="N14" s="103" t="str">
        <f>GenericDiodes[[#This Row],[Footprint]]</f>
        <v>SOT-23</v>
      </c>
    </row>
    <row r="15" spans="1:15" s="81" customFormat="1" x14ac:dyDescent="0.25">
      <c r="A15" s="219">
        <f t="shared" si="2"/>
        <v>14</v>
      </c>
      <c r="B15" s="105" t="s">
        <v>350</v>
      </c>
      <c r="C15" s="101" t="str">
        <f t="shared" si="1"/>
        <v>DIO-SW</v>
      </c>
      <c r="D15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100V 1.25V 0.215A SOT-23 STD</v>
      </c>
      <c r="E15" s="81" t="s">
        <v>57</v>
      </c>
      <c r="F15" s="81" t="s">
        <v>269</v>
      </c>
      <c r="G15" s="81" t="s">
        <v>353</v>
      </c>
      <c r="H15" s="81" t="s">
        <v>327</v>
      </c>
      <c r="I15" s="81" t="s">
        <v>1064</v>
      </c>
      <c r="J15" s="100" t="s">
        <v>170</v>
      </c>
      <c r="K15" s="81" t="s">
        <v>1561</v>
      </c>
      <c r="L15" s="81" t="s">
        <v>10</v>
      </c>
      <c r="M15" s="81" t="s">
        <v>263</v>
      </c>
      <c r="N15" s="103" t="str">
        <f>GenericDiodes[[#This Row],[Footprint]]</f>
        <v>SOT-23</v>
      </c>
    </row>
    <row r="16" spans="1:15" s="81" customFormat="1" x14ac:dyDescent="0.25">
      <c r="A16" s="219">
        <f t="shared" si="2"/>
        <v>15</v>
      </c>
      <c r="B16" s="105" t="s">
        <v>350</v>
      </c>
      <c r="C16" s="101" t="str">
        <f t="shared" si="1"/>
        <v>DIO-SW</v>
      </c>
      <c r="D16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100V 1.25V 0.215A SOT-23 AECQ</v>
      </c>
      <c r="E16" s="81" t="s">
        <v>57</v>
      </c>
      <c r="F16" s="81" t="s">
        <v>269</v>
      </c>
      <c r="G16" s="81" t="s">
        <v>353</v>
      </c>
      <c r="H16" s="81" t="s">
        <v>327</v>
      </c>
      <c r="I16" s="81" t="s">
        <v>1065</v>
      </c>
      <c r="J16" s="100" t="s">
        <v>170</v>
      </c>
      <c r="K16" s="81" t="s">
        <v>11</v>
      </c>
      <c r="L16" s="81" t="s">
        <v>10</v>
      </c>
      <c r="M16" s="81" t="s">
        <v>263</v>
      </c>
      <c r="N16" s="103" t="str">
        <f>GenericDiodes[[#This Row],[Footprint]]</f>
        <v>SOT-23</v>
      </c>
    </row>
    <row r="17" spans="1:15" s="81" customFormat="1" x14ac:dyDescent="0.25">
      <c r="A17" s="219">
        <f t="shared" si="2"/>
        <v>16</v>
      </c>
      <c r="B17" s="105" t="s">
        <v>1072</v>
      </c>
      <c r="C17" s="101" t="str">
        <f t="shared" si="1"/>
        <v>DIO-SW</v>
      </c>
      <c r="D17" s="102" t="str">
        <f>CONCATENATE(GenericDiodes[[#This Row],[Category]]," ",GenericDiodes[[#This Row],[Max Peak Reverse Voltage(V)]]," ",GenericDiodes[[#This Row],[Max Forward Voltage(V)]]," ",GenericDiodes[[#This Row],[Max Forward Current(A)]]," ",GenericDiodes[[#This Row],[Footprint]]," ",GenericDiodes[[#This Row],[Rating]])</f>
        <v>DIO-SW 100V 1.25V 0.215A SOD-123F STD</v>
      </c>
      <c r="E17" s="81" t="s">
        <v>57</v>
      </c>
      <c r="F17" s="46" t="s">
        <v>269</v>
      </c>
      <c r="G17" s="81" t="s">
        <v>353</v>
      </c>
      <c r="H17" s="81" t="s">
        <v>212</v>
      </c>
      <c r="I17" s="81" t="s">
        <v>1073</v>
      </c>
      <c r="J17" s="100" t="s">
        <v>170</v>
      </c>
      <c r="K17" s="81" t="s">
        <v>1561</v>
      </c>
      <c r="L17" s="81" t="s">
        <v>10</v>
      </c>
      <c r="N17" s="103" t="str">
        <f>GenericDiodes[[#This Row],[Footprint]]</f>
        <v>SOD-123F</v>
      </c>
    </row>
    <row r="18" spans="1:15" x14ac:dyDescent="0.25">
      <c r="A18" s="52"/>
      <c r="B18" s="58"/>
      <c r="C18" s="48"/>
      <c r="D18" s="48"/>
      <c r="E18" s="46"/>
      <c r="F18" s="46"/>
      <c r="G18" s="46"/>
      <c r="H18" s="51"/>
      <c r="I18" s="46"/>
      <c r="J18" s="51"/>
      <c r="K18" s="45"/>
      <c r="L18" s="46"/>
      <c r="M18" s="46"/>
      <c r="N18" s="48"/>
      <c r="O18" s="46"/>
    </row>
  </sheetData>
  <dataValidations count="5">
    <dataValidation type="list" allowBlank="1" showInputMessage="1" showErrorMessage="1" sqref="K2:K1048576">
      <formula1>Rating_List</formula1>
    </dataValidation>
    <dataValidation type="list" allowBlank="1" showInputMessage="1" showErrorMessage="1" sqref="M2:M1048576">
      <formula1>Symbols_Diodes</formula1>
    </dataValidation>
    <dataValidation type="list" allowBlank="1" showInputMessage="1" showErrorMessage="1" sqref="J2:J1048576">
      <formula1>Manufacturers_Diodes</formula1>
    </dataValidation>
    <dataValidation type="list" allowBlank="1" showInputMessage="1" showErrorMessage="1" sqref="H2:H17">
      <formula1>Footprints_Diodes</formula1>
    </dataValidation>
    <dataValidation type="list" allowBlank="1" showInputMessage="1" showErrorMessage="1" sqref="L2:L17">
      <formula1>Process_List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'Rating&amp;Process List'!$C$3:$C$4</xm:f>
          </x14:formula1>
          <xm:sqref>L18:L1048576</xm:sqref>
        </x14:dataValidation>
        <x14:dataValidation type="list" allowBlank="1" showInputMessage="1" showErrorMessage="1">
          <x14:formula1>
            <xm:f>'Rating&amp;Process List'!#REF!</xm:f>
          </x14:formula1>
          <xm:sqref>N18:N1048576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4"/>
  <sheetViews>
    <sheetView topLeftCell="A7" zoomScale="85" zoomScaleNormal="85" workbookViewId="0">
      <selection activeCell="H23" sqref="H23"/>
    </sheetView>
  </sheetViews>
  <sheetFormatPr defaultRowHeight="15" x14ac:dyDescent="0.25"/>
  <cols>
    <col min="1" max="1" width="7.28515625" bestFit="1" customWidth="1"/>
    <col min="2" max="2" width="15.28515625" bestFit="1" customWidth="1"/>
    <col min="3" max="3" width="11.140625" bestFit="1" customWidth="1"/>
    <col min="4" max="4" width="35.28515625" bestFit="1" customWidth="1"/>
    <col min="5" max="5" width="23.42578125" bestFit="1" customWidth="1"/>
    <col min="6" max="6" width="15" bestFit="1" customWidth="1"/>
    <col min="7" max="7" width="13.85546875" bestFit="1" customWidth="1"/>
    <col min="8" max="8" width="20" bestFit="1" customWidth="1"/>
    <col min="9" max="9" width="15.5703125" bestFit="1" customWidth="1"/>
    <col min="10" max="10" width="11.140625" bestFit="1" customWidth="1"/>
    <col min="11" max="11" width="10" bestFit="1" customWidth="1"/>
    <col min="12" max="12" width="41.7109375" bestFit="1" customWidth="1"/>
    <col min="13" max="13" width="15" bestFit="1" customWidth="1"/>
    <col min="14" max="14" width="39.85546875" bestFit="1" customWidth="1"/>
  </cols>
  <sheetData>
    <row r="1" spans="1:14" x14ac:dyDescent="0.25">
      <c r="A1" s="47" t="s">
        <v>0</v>
      </c>
      <c r="B1" s="132" t="s">
        <v>67</v>
      </c>
      <c r="C1" s="133" t="s">
        <v>7</v>
      </c>
      <c r="D1" s="47" t="s">
        <v>8</v>
      </c>
      <c r="E1" s="134" t="s">
        <v>1576</v>
      </c>
      <c r="F1" s="29" t="s">
        <v>1566</v>
      </c>
      <c r="G1" s="135" t="s">
        <v>18</v>
      </c>
      <c r="H1" s="135" t="s">
        <v>2</v>
      </c>
      <c r="I1" s="135" t="s">
        <v>1</v>
      </c>
      <c r="J1" s="135" t="s">
        <v>6</v>
      </c>
      <c r="K1" s="136" t="s">
        <v>5</v>
      </c>
      <c r="L1" s="16" t="s">
        <v>3</v>
      </c>
      <c r="M1" s="47" t="s">
        <v>4</v>
      </c>
      <c r="N1" s="32" t="s">
        <v>251</v>
      </c>
    </row>
    <row r="2" spans="1:14" x14ac:dyDescent="0.25">
      <c r="A2" s="146">
        <f t="shared" ref="A2:A31" si="0">ROW()-1</f>
        <v>1</v>
      </c>
      <c r="B2" s="138" t="s">
        <v>1025</v>
      </c>
      <c r="C2" s="147" t="str">
        <f>"DIO-ZEN"</f>
        <v>DIO-ZEN</v>
      </c>
      <c r="D2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6.8V 2% SOT-23 STD</v>
      </c>
      <c r="E2" s="174" t="s">
        <v>1172</v>
      </c>
      <c r="F2" s="231" t="s">
        <v>1519</v>
      </c>
      <c r="G2" s="17" t="s">
        <v>327</v>
      </c>
      <c r="H2" s="148" t="s">
        <v>1022</v>
      </c>
      <c r="I2" s="42" t="s">
        <v>170</v>
      </c>
      <c r="J2" s="17" t="s">
        <v>1561</v>
      </c>
      <c r="K2" s="17" t="s">
        <v>10</v>
      </c>
      <c r="L2" s="141" t="s">
        <v>201</v>
      </c>
      <c r="M2" s="141" t="str">
        <f>ZenerDiodes77[[#This Row],[Footprint]]</f>
        <v>SOT-23</v>
      </c>
      <c r="N2" s="149"/>
    </row>
    <row r="3" spans="1:14" x14ac:dyDescent="0.25">
      <c r="A3" s="146">
        <f t="shared" si="0"/>
        <v>2</v>
      </c>
      <c r="B3" s="138" t="s">
        <v>1025</v>
      </c>
      <c r="C3" s="147" t="str">
        <f t="shared" ref="C3:C31" si="1">"DIO-ZEN"</f>
        <v>DIO-ZEN</v>
      </c>
      <c r="D3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6.8V 2% SOT-23 AECQ</v>
      </c>
      <c r="E3" s="174" t="s">
        <v>1172</v>
      </c>
      <c r="F3" s="231" t="s">
        <v>1519</v>
      </c>
      <c r="G3" s="17" t="s">
        <v>327</v>
      </c>
      <c r="H3" s="148" t="s">
        <v>1023</v>
      </c>
      <c r="I3" s="149" t="s">
        <v>170</v>
      </c>
      <c r="J3" s="17" t="s">
        <v>11</v>
      </c>
      <c r="K3" s="17" t="s">
        <v>10</v>
      </c>
      <c r="L3" s="141"/>
      <c r="M3" s="141" t="str">
        <f>ZenerDiodes77[[#This Row],[Footprint]]</f>
        <v>SOT-23</v>
      </c>
      <c r="N3" s="149"/>
    </row>
    <row r="4" spans="1:14" x14ac:dyDescent="0.25">
      <c r="A4" s="137">
        <f t="shared" si="0"/>
        <v>3</v>
      </c>
      <c r="B4" s="138" t="s">
        <v>1025</v>
      </c>
      <c r="C4" s="147" t="str">
        <f t="shared" si="1"/>
        <v>DIO-ZEN</v>
      </c>
      <c r="D4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6.8V 2% SOT-23 AECQ</v>
      </c>
      <c r="E4" s="147" t="s">
        <v>1172</v>
      </c>
      <c r="F4" s="231" t="s">
        <v>1519</v>
      </c>
      <c r="G4" s="17" t="s">
        <v>327</v>
      </c>
      <c r="H4" s="141" t="s">
        <v>1024</v>
      </c>
      <c r="I4" s="42" t="s">
        <v>170</v>
      </c>
      <c r="J4" s="17" t="s">
        <v>11</v>
      </c>
      <c r="K4" s="17" t="s">
        <v>10</v>
      </c>
      <c r="L4" s="141" t="s">
        <v>199</v>
      </c>
      <c r="M4" s="141" t="str">
        <f>ZenerDiodes77[[#This Row],[Footprint]]</f>
        <v>SOT-23</v>
      </c>
      <c r="N4" s="42"/>
    </row>
    <row r="5" spans="1:14" s="33" customFormat="1" x14ac:dyDescent="0.25">
      <c r="A5" s="146">
        <f t="shared" si="0"/>
        <v>4</v>
      </c>
      <c r="B5" s="150" t="s">
        <v>1184</v>
      </c>
      <c r="C5" s="147" t="str">
        <f t="shared" si="1"/>
        <v>DIO-ZEN</v>
      </c>
      <c r="D5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16V 2% SOD523 AECQ</v>
      </c>
      <c r="E5" s="147" t="s">
        <v>902</v>
      </c>
      <c r="F5" s="231" t="s">
        <v>1519</v>
      </c>
      <c r="G5" s="17" t="s">
        <v>210</v>
      </c>
      <c r="H5" s="141" t="s">
        <v>1185</v>
      </c>
      <c r="I5" s="42" t="s">
        <v>170</v>
      </c>
      <c r="J5" s="17" t="s">
        <v>11</v>
      </c>
      <c r="K5" s="17" t="s">
        <v>10</v>
      </c>
      <c r="L5" s="141"/>
      <c r="M5" s="141" t="str">
        <f>ZenerDiodes77[[#This Row],[Footprint]]</f>
        <v>SOD523</v>
      </c>
      <c r="N5" s="42"/>
    </row>
    <row r="6" spans="1:14" s="33" customFormat="1" x14ac:dyDescent="0.25">
      <c r="A6" s="146">
        <f t="shared" si="0"/>
        <v>5</v>
      </c>
      <c r="B6" s="150" t="s">
        <v>1184</v>
      </c>
      <c r="C6" s="147" t="str">
        <f t="shared" si="1"/>
        <v>DIO-ZEN</v>
      </c>
      <c r="D6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16V 2% SOD523 STD</v>
      </c>
      <c r="E6" s="147" t="s">
        <v>902</v>
      </c>
      <c r="F6" s="231" t="s">
        <v>1519</v>
      </c>
      <c r="G6" s="17" t="s">
        <v>210</v>
      </c>
      <c r="H6" s="141" t="s">
        <v>1186</v>
      </c>
      <c r="I6" s="42" t="s">
        <v>170</v>
      </c>
      <c r="J6" s="17" t="s">
        <v>1561</v>
      </c>
      <c r="K6" s="17" t="s">
        <v>10</v>
      </c>
      <c r="L6" s="141"/>
      <c r="M6" s="141" t="str">
        <f>ZenerDiodes77[[#This Row],[Footprint]]</f>
        <v>SOD523</v>
      </c>
      <c r="N6" s="42"/>
    </row>
    <row r="7" spans="1:14" x14ac:dyDescent="0.25">
      <c r="A7" s="146">
        <f t="shared" si="0"/>
        <v>6</v>
      </c>
      <c r="B7" s="150" t="s">
        <v>1184</v>
      </c>
      <c r="C7" s="147" t="str">
        <f t="shared" si="1"/>
        <v>DIO-ZEN</v>
      </c>
      <c r="D7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16V 2% SOD-123 STD</v>
      </c>
      <c r="E7" s="147" t="s">
        <v>902</v>
      </c>
      <c r="F7" s="231" t="s">
        <v>1519</v>
      </c>
      <c r="G7" s="17" t="s">
        <v>211</v>
      </c>
      <c r="H7" s="141" t="s">
        <v>1187</v>
      </c>
      <c r="I7" s="42" t="s">
        <v>170</v>
      </c>
      <c r="J7" s="17" t="s">
        <v>1561</v>
      </c>
      <c r="K7" s="17" t="s">
        <v>10</v>
      </c>
      <c r="L7" s="141"/>
      <c r="M7" s="141" t="str">
        <f>ZenerDiodes77[[#This Row],[Footprint]]</f>
        <v>SOD-123</v>
      </c>
      <c r="N7" s="42"/>
    </row>
    <row r="8" spans="1:14" x14ac:dyDescent="0.25">
      <c r="A8" s="146">
        <f t="shared" si="0"/>
        <v>7</v>
      </c>
      <c r="B8" s="150" t="s">
        <v>1184</v>
      </c>
      <c r="C8" s="147" t="str">
        <f t="shared" si="1"/>
        <v>DIO-ZEN</v>
      </c>
      <c r="D8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16V 2% SOD523 STD</v>
      </c>
      <c r="E8" s="147" t="s">
        <v>902</v>
      </c>
      <c r="F8" s="231" t="s">
        <v>1519</v>
      </c>
      <c r="G8" s="17" t="s">
        <v>210</v>
      </c>
      <c r="H8" s="141" t="s">
        <v>1188</v>
      </c>
      <c r="I8" s="42" t="s">
        <v>170</v>
      </c>
      <c r="J8" s="17" t="s">
        <v>1561</v>
      </c>
      <c r="K8" s="17" t="s">
        <v>10</v>
      </c>
      <c r="L8" s="141"/>
      <c r="M8" s="141" t="str">
        <f>ZenerDiodes77[[#This Row],[Footprint]]</f>
        <v>SOD523</v>
      </c>
      <c r="N8" s="42"/>
    </row>
    <row r="9" spans="1:14" x14ac:dyDescent="0.25">
      <c r="A9" s="146">
        <f t="shared" si="0"/>
        <v>8</v>
      </c>
      <c r="B9" s="150" t="s">
        <v>1192</v>
      </c>
      <c r="C9" s="147" t="str">
        <f t="shared" si="1"/>
        <v>DIO-ZEN</v>
      </c>
      <c r="D9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6.2V 2% SOT-23 AECQ</v>
      </c>
      <c r="E9" s="147" t="s">
        <v>1193</v>
      </c>
      <c r="F9" s="231" t="s">
        <v>1519</v>
      </c>
      <c r="G9" s="17" t="s">
        <v>327</v>
      </c>
      <c r="H9" s="141" t="s">
        <v>1194</v>
      </c>
      <c r="I9" s="42" t="s">
        <v>1195</v>
      </c>
      <c r="J9" s="17" t="s">
        <v>11</v>
      </c>
      <c r="K9" s="17" t="s">
        <v>10</v>
      </c>
      <c r="L9" s="141"/>
      <c r="M9" s="141" t="str">
        <f>ZenerDiodes77[[#This Row],[Footprint]]</f>
        <v>SOT-23</v>
      </c>
      <c r="N9" s="42"/>
    </row>
    <row r="10" spans="1:14" x14ac:dyDescent="0.25">
      <c r="A10" s="146">
        <f t="shared" si="0"/>
        <v>9</v>
      </c>
      <c r="B10" s="150" t="s">
        <v>1192</v>
      </c>
      <c r="C10" s="147" t="str">
        <f t="shared" si="1"/>
        <v>DIO-ZEN</v>
      </c>
      <c r="D10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6.2V 5% SOT-23 AECQ</v>
      </c>
      <c r="E10" s="147" t="s">
        <v>1193</v>
      </c>
      <c r="F10" s="143" t="s">
        <v>410</v>
      </c>
      <c r="G10" s="17" t="s">
        <v>327</v>
      </c>
      <c r="H10" s="141" t="s">
        <v>1196</v>
      </c>
      <c r="I10" s="42" t="s">
        <v>34</v>
      </c>
      <c r="J10" s="17" t="s">
        <v>11</v>
      </c>
      <c r="K10" s="17" t="s">
        <v>10</v>
      </c>
      <c r="L10" s="141"/>
      <c r="M10" s="141" t="str">
        <f>ZenerDiodes77[[#This Row],[Footprint]]</f>
        <v>SOT-23</v>
      </c>
      <c r="N10" s="42"/>
    </row>
    <row r="11" spans="1:14" s="45" customFormat="1" x14ac:dyDescent="0.25">
      <c r="A11" s="146">
        <f t="shared" si="0"/>
        <v>10</v>
      </c>
      <c r="B11" s="150" t="s">
        <v>1192</v>
      </c>
      <c r="C11" s="147" t="str">
        <f t="shared" si="1"/>
        <v>DIO-ZEN</v>
      </c>
      <c r="D11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6.2V 2% SOT-23 STD</v>
      </c>
      <c r="E11" s="147" t="s">
        <v>1193</v>
      </c>
      <c r="F11" s="231" t="s">
        <v>1519</v>
      </c>
      <c r="G11" s="17" t="s">
        <v>327</v>
      </c>
      <c r="H11" s="141" t="s">
        <v>1197</v>
      </c>
      <c r="I11" s="42" t="s">
        <v>34</v>
      </c>
      <c r="J11" s="17" t="s">
        <v>1561</v>
      </c>
      <c r="K11" s="17" t="s">
        <v>10</v>
      </c>
      <c r="L11" s="141"/>
      <c r="M11" s="141" t="str">
        <f>ZenerDiodes77[[#This Row],[Footprint]]</f>
        <v>SOT-23</v>
      </c>
      <c r="N11" s="42"/>
    </row>
    <row r="12" spans="1:14" s="45" customFormat="1" x14ac:dyDescent="0.25">
      <c r="A12" s="137">
        <f t="shared" si="0"/>
        <v>11</v>
      </c>
      <c r="B12" s="138" t="s">
        <v>186</v>
      </c>
      <c r="C12" s="147" t="str">
        <f t="shared" si="1"/>
        <v>DIO-ZEN</v>
      </c>
      <c r="D12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4.7V 5% SOT-23 AECQ</v>
      </c>
      <c r="E12" s="140" t="s">
        <v>1168</v>
      </c>
      <c r="F12" s="143" t="s">
        <v>410</v>
      </c>
      <c r="G12" s="17" t="s">
        <v>327</v>
      </c>
      <c r="H12" s="141" t="s">
        <v>303</v>
      </c>
      <c r="I12" s="42" t="s">
        <v>34</v>
      </c>
      <c r="J12" s="17" t="s">
        <v>11</v>
      </c>
      <c r="K12" s="17" t="s">
        <v>10</v>
      </c>
      <c r="L12" s="141" t="s">
        <v>201</v>
      </c>
      <c r="M12" s="141" t="str">
        <f>ZenerDiodes77[[#This Row],[Footprint]]</f>
        <v>SOT-23</v>
      </c>
      <c r="N12" s="42"/>
    </row>
    <row r="13" spans="1:14" x14ac:dyDescent="0.25">
      <c r="A13" s="137">
        <f t="shared" si="0"/>
        <v>12</v>
      </c>
      <c r="B13" s="138" t="s">
        <v>186</v>
      </c>
      <c r="C13" s="147" t="str">
        <f t="shared" si="1"/>
        <v>DIO-ZEN</v>
      </c>
      <c r="D13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4.7V 5% SOT-23 STD</v>
      </c>
      <c r="E13" s="140" t="s">
        <v>1168</v>
      </c>
      <c r="F13" s="143" t="s">
        <v>410</v>
      </c>
      <c r="G13" s="17" t="s">
        <v>327</v>
      </c>
      <c r="H13" s="141" t="s">
        <v>184</v>
      </c>
      <c r="I13" s="42" t="s">
        <v>34</v>
      </c>
      <c r="J13" s="17" t="s">
        <v>1561</v>
      </c>
      <c r="K13" s="17" t="s">
        <v>10</v>
      </c>
      <c r="L13" s="141" t="s">
        <v>201</v>
      </c>
      <c r="M13" s="141" t="str">
        <f>ZenerDiodes77[[#This Row],[Footprint]]</f>
        <v>SOT-23</v>
      </c>
      <c r="N13" s="142" t="s">
        <v>304</v>
      </c>
    </row>
    <row r="14" spans="1:14" x14ac:dyDescent="0.25">
      <c r="A14" s="137">
        <f t="shared" si="0"/>
        <v>13</v>
      </c>
      <c r="B14" s="138" t="s">
        <v>186</v>
      </c>
      <c r="C14" s="147" t="str">
        <f t="shared" si="1"/>
        <v>DIO-ZEN</v>
      </c>
      <c r="D14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4.7V 6.38% SOT-23 AECQ</v>
      </c>
      <c r="E14" s="140" t="s">
        <v>1168</v>
      </c>
      <c r="F14" s="143" t="s">
        <v>1520</v>
      </c>
      <c r="G14" s="17" t="s">
        <v>327</v>
      </c>
      <c r="H14" s="141" t="s">
        <v>185</v>
      </c>
      <c r="I14" s="42" t="s">
        <v>68</v>
      </c>
      <c r="J14" s="17" t="s">
        <v>11</v>
      </c>
      <c r="K14" s="17" t="s">
        <v>10</v>
      </c>
      <c r="L14" s="141" t="s">
        <v>201</v>
      </c>
      <c r="M14" s="141" t="str">
        <f>ZenerDiodes77[[#This Row],[Footprint]]</f>
        <v>SOT-23</v>
      </c>
      <c r="N14" s="42"/>
    </row>
    <row r="15" spans="1:14" x14ac:dyDescent="0.25">
      <c r="A15" s="146">
        <f t="shared" si="0"/>
        <v>14</v>
      </c>
      <c r="B15" s="150" t="s">
        <v>186</v>
      </c>
      <c r="C15" s="147" t="str">
        <f t="shared" si="1"/>
        <v>DIO-ZEN</v>
      </c>
      <c r="D15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4.7V 5% SOT-23 AECQ</v>
      </c>
      <c r="E15" s="147" t="s">
        <v>1168</v>
      </c>
      <c r="F15" s="143" t="s">
        <v>410</v>
      </c>
      <c r="G15" s="17" t="s">
        <v>327</v>
      </c>
      <c r="H15" s="141" t="s">
        <v>1203</v>
      </c>
      <c r="I15" s="42" t="s">
        <v>34</v>
      </c>
      <c r="J15" s="17" t="s">
        <v>11</v>
      </c>
      <c r="K15" s="17" t="s">
        <v>10</v>
      </c>
      <c r="L15" s="141"/>
      <c r="M15" s="141" t="str">
        <f>ZenerDiodes77[[#This Row],[Footprint]]</f>
        <v>SOT-23</v>
      </c>
      <c r="N15" s="42"/>
    </row>
    <row r="16" spans="1:14" x14ac:dyDescent="0.25">
      <c r="A16" s="146">
        <f t="shared" si="0"/>
        <v>15</v>
      </c>
      <c r="B16" s="150" t="s">
        <v>186</v>
      </c>
      <c r="C16" s="147" t="str">
        <f t="shared" si="1"/>
        <v>DIO-ZEN</v>
      </c>
      <c r="D16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4.7V 5% SOT-23 STD</v>
      </c>
      <c r="E16" s="147" t="s">
        <v>1168</v>
      </c>
      <c r="F16" s="143" t="s">
        <v>410</v>
      </c>
      <c r="G16" s="17" t="s">
        <v>327</v>
      </c>
      <c r="H16" s="141" t="s">
        <v>184</v>
      </c>
      <c r="I16" s="42" t="s">
        <v>34</v>
      </c>
      <c r="J16" s="17" t="s">
        <v>1561</v>
      </c>
      <c r="K16" s="17" t="s">
        <v>10</v>
      </c>
      <c r="L16" s="141"/>
      <c r="M16" s="141" t="str">
        <f>ZenerDiodes77[[#This Row],[Footprint]]</f>
        <v>SOT-23</v>
      </c>
      <c r="N16" s="42"/>
    </row>
    <row r="17" spans="1:14" x14ac:dyDescent="0.25">
      <c r="A17" s="146">
        <f t="shared" si="0"/>
        <v>16</v>
      </c>
      <c r="B17" s="150" t="s">
        <v>186</v>
      </c>
      <c r="C17" s="147" t="str">
        <f t="shared" si="1"/>
        <v>DIO-ZEN</v>
      </c>
      <c r="D17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4.7V 5% SOT-23 AECQ</v>
      </c>
      <c r="E17" s="147" t="s">
        <v>1168</v>
      </c>
      <c r="F17" s="143" t="s">
        <v>410</v>
      </c>
      <c r="G17" s="17" t="s">
        <v>327</v>
      </c>
      <c r="H17" s="141" t="s">
        <v>185</v>
      </c>
      <c r="I17" s="42" t="s">
        <v>68</v>
      </c>
      <c r="J17" s="17" t="s">
        <v>11</v>
      </c>
      <c r="K17" s="17" t="s">
        <v>10</v>
      </c>
      <c r="L17" s="141"/>
      <c r="M17" s="141" t="str">
        <f>ZenerDiodes77[[#This Row],[Footprint]]</f>
        <v>SOT-23</v>
      </c>
      <c r="N17" s="42"/>
    </row>
    <row r="18" spans="1:14" x14ac:dyDescent="0.25">
      <c r="A18" s="146">
        <f t="shared" si="0"/>
        <v>17</v>
      </c>
      <c r="B18" s="17" t="s">
        <v>1173</v>
      </c>
      <c r="C18" s="147" t="str">
        <f t="shared" si="1"/>
        <v>DIO-ZEN</v>
      </c>
      <c r="D18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12V 1% SOT-23 AECQ</v>
      </c>
      <c r="E18" s="147" t="s">
        <v>1174</v>
      </c>
      <c r="F18" s="143" t="s">
        <v>13</v>
      </c>
      <c r="G18" s="17" t="s">
        <v>327</v>
      </c>
      <c r="H18" s="141" t="s">
        <v>1175</v>
      </c>
      <c r="I18" s="42" t="s">
        <v>170</v>
      </c>
      <c r="J18" s="17" t="s">
        <v>11</v>
      </c>
      <c r="K18" s="17" t="s">
        <v>10</v>
      </c>
      <c r="L18" s="141"/>
      <c r="M18" s="141" t="str">
        <f>ZenerDiodes77[[#This Row],[Footprint]]</f>
        <v>SOT-23</v>
      </c>
      <c r="N18" s="42"/>
    </row>
    <row r="19" spans="1:14" x14ac:dyDescent="0.25">
      <c r="A19" s="146">
        <f t="shared" si="0"/>
        <v>18</v>
      </c>
      <c r="B19" s="17" t="s">
        <v>1173</v>
      </c>
      <c r="C19" s="147" t="str">
        <f t="shared" si="1"/>
        <v>DIO-ZEN</v>
      </c>
      <c r="D19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12V 1% SOT-23 STD</v>
      </c>
      <c r="E19" s="147" t="s">
        <v>1174</v>
      </c>
      <c r="F19" s="143" t="s">
        <v>13</v>
      </c>
      <c r="G19" s="17" t="s">
        <v>327</v>
      </c>
      <c r="H19" s="141" t="s">
        <v>1176</v>
      </c>
      <c r="I19" s="42" t="s">
        <v>170</v>
      </c>
      <c r="J19" s="17" t="s">
        <v>1561</v>
      </c>
      <c r="K19" s="17" t="s">
        <v>10</v>
      </c>
      <c r="L19" s="141"/>
      <c r="M19" s="141" t="str">
        <f>ZenerDiodes77[[#This Row],[Footprint]]</f>
        <v>SOT-23</v>
      </c>
      <c r="N19" s="42"/>
    </row>
    <row r="20" spans="1:14" x14ac:dyDescent="0.25">
      <c r="A20" s="146">
        <f t="shared" si="0"/>
        <v>19</v>
      </c>
      <c r="B20" s="17" t="s">
        <v>1189</v>
      </c>
      <c r="C20" s="147" t="str">
        <f t="shared" si="1"/>
        <v>DIO-ZEN</v>
      </c>
      <c r="D20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18V 5% SOD-123F STD</v>
      </c>
      <c r="E20" s="147" t="s">
        <v>1190</v>
      </c>
      <c r="F20" s="143" t="s">
        <v>410</v>
      </c>
      <c r="G20" s="17" t="s">
        <v>212</v>
      </c>
      <c r="H20" s="141" t="s">
        <v>1191</v>
      </c>
      <c r="I20" s="42" t="s">
        <v>170</v>
      </c>
      <c r="J20" s="17" t="s">
        <v>1561</v>
      </c>
      <c r="K20" s="17" t="s">
        <v>10</v>
      </c>
      <c r="L20" s="141"/>
      <c r="M20" s="141" t="str">
        <f>ZenerDiodes77[[#This Row],[Footprint]]</f>
        <v>SOD-123F</v>
      </c>
      <c r="N20" s="42"/>
    </row>
    <row r="21" spans="1:14" x14ac:dyDescent="0.25">
      <c r="A21" s="146">
        <f t="shared" si="0"/>
        <v>20</v>
      </c>
      <c r="B21" s="150" t="s">
        <v>1198</v>
      </c>
      <c r="C21" s="147" t="str">
        <f t="shared" si="1"/>
        <v>DIO-ZEN</v>
      </c>
      <c r="D21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3.9V 5% SOT-23 STD</v>
      </c>
      <c r="E21" s="147" t="s">
        <v>1199</v>
      </c>
      <c r="F21" s="143" t="s">
        <v>410</v>
      </c>
      <c r="G21" s="17" t="s">
        <v>327</v>
      </c>
      <c r="H21" s="141" t="s">
        <v>1200</v>
      </c>
      <c r="I21" s="42" t="s">
        <v>170</v>
      </c>
      <c r="J21" s="17" t="s">
        <v>1561</v>
      </c>
      <c r="K21" s="17" t="s">
        <v>10</v>
      </c>
      <c r="L21" s="141"/>
      <c r="M21" s="141" t="str">
        <f>ZenerDiodes77[[#This Row],[Footprint]]</f>
        <v>SOT-23</v>
      </c>
      <c r="N21" s="42"/>
    </row>
    <row r="22" spans="1:14" x14ac:dyDescent="0.25">
      <c r="A22" s="146">
        <f t="shared" si="0"/>
        <v>21</v>
      </c>
      <c r="B22" s="150" t="s">
        <v>1198</v>
      </c>
      <c r="C22" s="147" t="str">
        <f t="shared" si="1"/>
        <v>DIO-ZEN</v>
      </c>
      <c r="D22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3.9V 5% SOT-23 AECQ</v>
      </c>
      <c r="E22" s="147" t="s">
        <v>1199</v>
      </c>
      <c r="F22" s="143" t="s">
        <v>410</v>
      </c>
      <c r="G22" s="17" t="s">
        <v>327</v>
      </c>
      <c r="H22" s="141" t="s">
        <v>1201</v>
      </c>
      <c r="I22" s="42" t="s">
        <v>170</v>
      </c>
      <c r="J22" s="17" t="s">
        <v>11</v>
      </c>
      <c r="K22" s="17" t="s">
        <v>10</v>
      </c>
      <c r="L22" s="141"/>
      <c r="M22" s="141" t="str">
        <f>ZenerDiodes77[[#This Row],[Footprint]]</f>
        <v>SOT-23</v>
      </c>
      <c r="N22" s="42"/>
    </row>
    <row r="23" spans="1:14" x14ac:dyDescent="0.25">
      <c r="A23" s="146">
        <f t="shared" si="0"/>
        <v>22</v>
      </c>
      <c r="B23" s="150" t="s">
        <v>1198</v>
      </c>
      <c r="C23" s="147" t="str">
        <f t="shared" si="1"/>
        <v>DIO-ZEN</v>
      </c>
      <c r="D23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3.9V 5% SOT-23 AECQ</v>
      </c>
      <c r="E23" s="147" t="s">
        <v>1199</v>
      </c>
      <c r="F23" s="143" t="s">
        <v>410</v>
      </c>
      <c r="G23" s="17" t="s">
        <v>327</v>
      </c>
      <c r="H23" s="141" t="s">
        <v>1202</v>
      </c>
      <c r="I23" s="42" t="s">
        <v>170</v>
      </c>
      <c r="J23" s="17" t="s">
        <v>11</v>
      </c>
      <c r="K23" s="17" t="s">
        <v>10</v>
      </c>
      <c r="L23" s="141"/>
      <c r="M23" s="141" t="str">
        <f>ZenerDiodes77[[#This Row],[Footprint]]</f>
        <v>SOT-23</v>
      </c>
      <c r="N23" s="42"/>
    </row>
    <row r="24" spans="1:14" x14ac:dyDescent="0.25">
      <c r="A24" s="146">
        <f t="shared" si="0"/>
        <v>23</v>
      </c>
      <c r="B24" s="150" t="s">
        <v>1177</v>
      </c>
      <c r="C24" s="147" t="str">
        <f t="shared" si="1"/>
        <v>DIO-ZEN</v>
      </c>
      <c r="D24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12V 5% SOD-323 AECQ</v>
      </c>
      <c r="E24" s="147" t="s">
        <v>1174</v>
      </c>
      <c r="F24" s="143" t="s">
        <v>410</v>
      </c>
      <c r="G24" s="17" t="s">
        <v>214</v>
      </c>
      <c r="H24" s="141" t="s">
        <v>1178</v>
      </c>
      <c r="I24" s="42" t="s">
        <v>68</v>
      </c>
      <c r="J24" s="17" t="s">
        <v>11</v>
      </c>
      <c r="K24" s="17" t="s">
        <v>10</v>
      </c>
      <c r="L24" s="141"/>
      <c r="M24" s="141" t="str">
        <f>ZenerDiodes77[[#This Row],[Footprint]]</f>
        <v>SOD-323</v>
      </c>
      <c r="N24" s="42"/>
    </row>
    <row r="25" spans="1:14" x14ac:dyDescent="0.25">
      <c r="A25" s="146">
        <f t="shared" si="0"/>
        <v>24</v>
      </c>
      <c r="B25" s="150" t="s">
        <v>1179</v>
      </c>
      <c r="C25" s="147" t="str">
        <f t="shared" si="1"/>
        <v>DIO-ZEN</v>
      </c>
      <c r="D25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5.1V 2% SOD-323 AECQ</v>
      </c>
      <c r="E25" s="147" t="s">
        <v>1180</v>
      </c>
      <c r="F25" s="231" t="s">
        <v>1519</v>
      </c>
      <c r="G25" s="17" t="s">
        <v>214</v>
      </c>
      <c r="H25" s="141" t="s">
        <v>1181</v>
      </c>
      <c r="I25" s="42" t="s">
        <v>170</v>
      </c>
      <c r="J25" s="17" t="s">
        <v>11</v>
      </c>
      <c r="K25" s="17" t="s">
        <v>10</v>
      </c>
      <c r="L25" s="141"/>
      <c r="M25" s="141" t="str">
        <f>ZenerDiodes77[[#This Row],[Footprint]]</f>
        <v>SOD-323</v>
      </c>
      <c r="N25" s="42"/>
    </row>
    <row r="26" spans="1:14" x14ac:dyDescent="0.25">
      <c r="A26" s="146">
        <f t="shared" si="0"/>
        <v>25</v>
      </c>
      <c r="B26" s="150" t="s">
        <v>1179</v>
      </c>
      <c r="C26" s="147" t="str">
        <f t="shared" si="1"/>
        <v>DIO-ZEN</v>
      </c>
      <c r="D26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5.1V 2% SOD-323 STD</v>
      </c>
      <c r="E26" s="147" t="s">
        <v>1180</v>
      </c>
      <c r="F26" s="231" t="s">
        <v>1519</v>
      </c>
      <c r="G26" s="17" t="s">
        <v>214</v>
      </c>
      <c r="H26" s="141" t="s">
        <v>1182</v>
      </c>
      <c r="I26" s="42" t="s">
        <v>170</v>
      </c>
      <c r="J26" s="17" t="s">
        <v>1561</v>
      </c>
      <c r="K26" s="17" t="s">
        <v>10</v>
      </c>
      <c r="L26" s="141"/>
      <c r="M26" s="141" t="str">
        <f>ZenerDiodes77[[#This Row],[Footprint]]</f>
        <v>SOD-323</v>
      </c>
      <c r="N26" s="42"/>
    </row>
    <row r="27" spans="1:14" x14ac:dyDescent="0.25">
      <c r="A27" s="146">
        <f t="shared" si="0"/>
        <v>26</v>
      </c>
      <c r="B27" s="150" t="s">
        <v>1179</v>
      </c>
      <c r="C27" s="147" t="str">
        <f t="shared" si="1"/>
        <v>DIO-ZEN</v>
      </c>
      <c r="D27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5.1V 2% SOD-323 STD</v>
      </c>
      <c r="E27" s="147" t="s">
        <v>1180</v>
      </c>
      <c r="F27" s="231" t="s">
        <v>1519</v>
      </c>
      <c r="G27" s="17" t="s">
        <v>214</v>
      </c>
      <c r="H27" s="141" t="s">
        <v>1183</v>
      </c>
      <c r="I27" s="42" t="s">
        <v>170</v>
      </c>
      <c r="J27" s="17" t="s">
        <v>1561</v>
      </c>
      <c r="K27" s="17" t="s">
        <v>10</v>
      </c>
      <c r="L27" s="141"/>
      <c r="M27" s="141" t="str">
        <f>ZenerDiodes77[[#This Row],[Footprint]]</f>
        <v>SOD-323</v>
      </c>
      <c r="N27" s="42"/>
    </row>
    <row r="28" spans="1:14" x14ac:dyDescent="0.25">
      <c r="A28" s="137">
        <f t="shared" si="0"/>
        <v>27</v>
      </c>
      <c r="B28" s="144" t="s">
        <v>390</v>
      </c>
      <c r="C28" s="147" t="str">
        <f t="shared" si="1"/>
        <v>DIO-ZEN</v>
      </c>
      <c r="D28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3.6V 5% SOD-323F AECQ</v>
      </c>
      <c r="E28" s="145" t="s">
        <v>1170</v>
      </c>
      <c r="F28" s="143" t="s">
        <v>410</v>
      </c>
      <c r="G28" s="17" t="s">
        <v>215</v>
      </c>
      <c r="H28" s="141" t="s">
        <v>388</v>
      </c>
      <c r="I28" s="42" t="s">
        <v>170</v>
      </c>
      <c r="J28" s="17" t="s">
        <v>11</v>
      </c>
      <c r="K28" s="17" t="s">
        <v>10</v>
      </c>
      <c r="L28" s="141" t="s">
        <v>200</v>
      </c>
      <c r="M28" s="141" t="str">
        <f>ZenerDiodes77[[#This Row],[Footprint]]</f>
        <v>SOD-323F</v>
      </c>
      <c r="N28" s="42"/>
    </row>
    <row r="29" spans="1:14" x14ac:dyDescent="0.25">
      <c r="A29" s="137">
        <f t="shared" si="0"/>
        <v>28</v>
      </c>
      <c r="B29" s="144" t="s">
        <v>389</v>
      </c>
      <c r="C29" s="147" t="str">
        <f t="shared" si="1"/>
        <v>DIO-ZEN</v>
      </c>
      <c r="D29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15V 5% SOD-323F AECQ</v>
      </c>
      <c r="E29" s="17" t="s">
        <v>1169</v>
      </c>
      <c r="F29" s="143" t="s">
        <v>410</v>
      </c>
      <c r="G29" s="17" t="s">
        <v>215</v>
      </c>
      <c r="H29" s="141" t="s">
        <v>387</v>
      </c>
      <c r="I29" s="42" t="s">
        <v>170</v>
      </c>
      <c r="J29" s="17" t="s">
        <v>11</v>
      </c>
      <c r="K29" s="17" t="s">
        <v>10</v>
      </c>
      <c r="L29" s="141" t="s">
        <v>200</v>
      </c>
      <c r="M29" s="141" t="str">
        <f>ZenerDiodes77[[#This Row],[Footprint]]</f>
        <v>SOD-323F</v>
      </c>
      <c r="N29" s="42"/>
    </row>
    <row r="30" spans="1:14" x14ac:dyDescent="0.25">
      <c r="A30" s="137">
        <f t="shared" si="0"/>
        <v>29</v>
      </c>
      <c r="B30" s="138" t="s">
        <v>394</v>
      </c>
      <c r="C30" s="147" t="str">
        <f t="shared" si="1"/>
        <v>DIO-ZEN</v>
      </c>
      <c r="D30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5.6V 5% SOD-323F AECQ</v>
      </c>
      <c r="E30" s="174" t="s">
        <v>1171</v>
      </c>
      <c r="F30" s="143" t="s">
        <v>410</v>
      </c>
      <c r="G30" s="17" t="s">
        <v>215</v>
      </c>
      <c r="H30" s="141" t="s">
        <v>393</v>
      </c>
      <c r="I30" s="42" t="s">
        <v>170</v>
      </c>
      <c r="J30" s="17" t="s">
        <v>11</v>
      </c>
      <c r="K30" s="17" t="s">
        <v>10</v>
      </c>
      <c r="L30" s="141" t="s">
        <v>200</v>
      </c>
      <c r="M30" s="141" t="str">
        <f>ZenerDiodes77[[#This Row],[Footprint]]</f>
        <v>SOD-323F</v>
      </c>
      <c r="N30" s="42"/>
    </row>
    <row r="31" spans="1:14" x14ac:dyDescent="0.25">
      <c r="A31" s="137">
        <f t="shared" si="0"/>
        <v>30</v>
      </c>
      <c r="B31" s="138" t="s">
        <v>392</v>
      </c>
      <c r="C31" s="147" t="str">
        <f t="shared" si="1"/>
        <v>DIO-ZEN</v>
      </c>
      <c r="D31" s="139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4.7V 2% SOD-323F AECQ</v>
      </c>
      <c r="E31" s="145" t="s">
        <v>1168</v>
      </c>
      <c r="F31" s="231" t="s">
        <v>1519</v>
      </c>
      <c r="G31" s="17" t="s">
        <v>215</v>
      </c>
      <c r="H31" s="141" t="s">
        <v>391</v>
      </c>
      <c r="I31" s="42" t="s">
        <v>170</v>
      </c>
      <c r="J31" s="17" t="s">
        <v>11</v>
      </c>
      <c r="K31" s="17" t="s">
        <v>10</v>
      </c>
      <c r="L31" s="141" t="s">
        <v>200</v>
      </c>
      <c r="M31" s="141" t="str">
        <f>ZenerDiodes77[[#This Row],[Footprint]]</f>
        <v>SOD-323F</v>
      </c>
      <c r="N31" s="42"/>
    </row>
    <row r="32" spans="1:14" x14ac:dyDescent="0.25">
      <c r="A32" s="57">
        <f>ROW()-1</f>
        <v>31</v>
      </c>
      <c r="B32" s="44" t="s">
        <v>1617</v>
      </c>
      <c r="C32" s="48" t="str">
        <f>"DIO-ZEN"</f>
        <v>DIO-ZEN</v>
      </c>
      <c r="D32" s="6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4.3V 7% SOT-23 AECQ</v>
      </c>
      <c r="E32" s="48" t="s">
        <v>1619</v>
      </c>
      <c r="F32" s="231" t="s">
        <v>1618</v>
      </c>
      <c r="G32" s="17" t="s">
        <v>327</v>
      </c>
      <c r="H32" s="47" t="s">
        <v>1616</v>
      </c>
      <c r="I32" t="s">
        <v>170</v>
      </c>
      <c r="J32" s="174" t="s">
        <v>11</v>
      </c>
      <c r="K32" s="174" t="s">
        <v>10</v>
      </c>
      <c r="L32" s="141" t="s">
        <v>201</v>
      </c>
      <c r="M32" s="141" t="str">
        <f>ZenerDiodes77[[#This Row],[Footprint]]</f>
        <v>SOT-23</v>
      </c>
    </row>
    <row r="33" spans="1:13" x14ac:dyDescent="0.25">
      <c r="A33" s="57">
        <f>ROW()-1</f>
        <v>32</v>
      </c>
      <c r="B33" s="44" t="s">
        <v>1646</v>
      </c>
      <c r="C33" s="48" t="str">
        <f>"DIO-ZEN"</f>
        <v>DIO-ZEN</v>
      </c>
      <c r="D33" s="6" t="str">
        <f>CONCATENATE(ZenerDiodes77[[#This Row],[Category]]," ",ZenerDiodes77[[#This Row],[Nom Zener Voltage(V)]]," ",ZenerDiodes77[[#This Row],[Tolerance(%)]]," ",ZenerDiodes77[[#This Row],[Footprint]]," ",ZenerDiodes77[[#This Row],[Rating]])</f>
        <v>DIO-ZEN 4.3V 7% SOT-23 AECQ</v>
      </c>
      <c r="E33" s="48" t="s">
        <v>1619</v>
      </c>
      <c r="F33" s="231" t="s">
        <v>1618</v>
      </c>
      <c r="G33" s="174" t="s">
        <v>327</v>
      </c>
      <c r="H33" s="47" t="s">
        <v>1645</v>
      </c>
      <c r="I33" t="s">
        <v>222</v>
      </c>
      <c r="J33" s="174" t="s">
        <v>11</v>
      </c>
      <c r="K33" s="174" t="s">
        <v>10</v>
      </c>
      <c r="L33" s="141" t="s">
        <v>201</v>
      </c>
      <c r="M33" s="43" t="str">
        <f>ZenerDiodes77[[#This Row],[Footprint]]</f>
        <v>SOT-23</v>
      </c>
    </row>
    <row r="34" spans="1:13" x14ac:dyDescent="0.25">
      <c r="A34" s="57">
        <f>ROW()-1</f>
        <v>33</v>
      </c>
      <c r="B34" s="44" t="s">
        <v>1663</v>
      </c>
      <c r="C34" s="48" t="str">
        <f>"DIO-ZEN"</f>
        <v>DIO-ZEN</v>
      </c>
      <c r="D34" s="6" t="str">
        <f>CONCATENATE(ZenerDiodes77[[#This Row],[Category]]," ",ZenerDiodes77[[#This Row],[Nom Zener Voltage(V)]]," ",ZenerDiodes77[[#This Row],[Tolerance(%)]]," ",ZenerDiodes77[[#This Row],[Footprint]]," ",ZenerDiodes77[[#This Row],[Rating]])</f>
        <v>DIO-ZEN 5.1V 2% SOD-323 AECQ</v>
      </c>
      <c r="E34" s="48" t="s">
        <v>1180</v>
      </c>
      <c r="F34" s="231" t="s">
        <v>1519</v>
      </c>
      <c r="G34" s="17" t="s">
        <v>214</v>
      </c>
      <c r="H34" s="47" t="s">
        <v>1662</v>
      </c>
      <c r="I34" s="173" t="s">
        <v>222</v>
      </c>
      <c r="J34" s="174" t="s">
        <v>11</v>
      </c>
      <c r="K34" s="174" t="s">
        <v>10</v>
      </c>
      <c r="L34" s="141" t="s">
        <v>200</v>
      </c>
      <c r="M34" s="43" t="str">
        <f>ZenerDiodes77[[#This Row],[Footprint]]</f>
        <v>SOD-323</v>
      </c>
    </row>
  </sheetData>
  <dataValidations count="6">
    <dataValidation type="list" allowBlank="1" showInputMessage="1" showErrorMessage="1" sqref="L2:L34">
      <formula1>Symbols_Diodes</formula1>
    </dataValidation>
    <dataValidation type="list" allowBlank="1" showInputMessage="1" showErrorMessage="1" sqref="G2:G34">
      <formula1>Footprints_Diodes</formula1>
    </dataValidation>
    <dataValidation type="list" allowBlank="1" showInputMessage="1" showErrorMessage="1" sqref="M33:M1048576 L35:L1048576">
      <formula1>#REF!</formula1>
    </dataValidation>
    <dataValidation type="list" allowBlank="1" showInputMessage="1" showErrorMessage="1" sqref="I2:I1048576">
      <formula1>Manufacturers_Diodes</formula1>
    </dataValidation>
    <dataValidation type="list" allowBlank="1" showInputMessage="1" showErrorMessage="1" sqref="J2:J34">
      <formula1>Rating_List</formula1>
    </dataValidation>
    <dataValidation type="list" allowBlank="1" showInputMessage="1" showErrorMessage="1" sqref="K2:K34">
      <formula1>Process_List</formula1>
    </dataValidation>
  </dataValidations>
  <pageMargins left="0.7" right="0.7" top="0.75" bottom="0.75" header="0.3" footer="0.3"/>
  <pageSetup paperSize="9" orientation="portrait" r:id="rId1"/>
  <ignoredErrors>
    <ignoredError sqref="F2:F31" numberStoredAsText="1"/>
  </ignoredError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8"/>
  <sheetViews>
    <sheetView zoomScale="85" zoomScaleNormal="85" workbookViewId="0">
      <selection activeCell="H22" sqref="H22"/>
    </sheetView>
  </sheetViews>
  <sheetFormatPr defaultRowHeight="15" x14ac:dyDescent="0.25"/>
  <cols>
    <col min="1" max="1" width="5.7109375" bestFit="1" customWidth="1"/>
    <col min="2" max="2" width="11.42578125" bestFit="1" customWidth="1"/>
    <col min="3" max="3" width="11.28515625" bestFit="1" customWidth="1"/>
    <col min="4" max="4" width="35.7109375" bestFit="1" customWidth="1"/>
    <col min="5" max="5" width="25.140625" bestFit="1" customWidth="1"/>
    <col min="6" max="6" width="25.28515625" bestFit="1" customWidth="1"/>
    <col min="7" max="7" width="24.7109375" bestFit="1" customWidth="1"/>
    <col min="8" max="8" width="15.42578125" bestFit="1" customWidth="1"/>
    <col min="9" max="9" width="17.85546875" bestFit="1" customWidth="1"/>
    <col min="10" max="10" width="22.28515625" bestFit="1" customWidth="1"/>
    <col min="11" max="11" width="10.7109375" bestFit="1" customWidth="1"/>
    <col min="12" max="12" width="10" bestFit="1" customWidth="1"/>
    <col min="13" max="13" width="35.5703125" bestFit="1" customWidth="1"/>
    <col min="14" max="14" width="22.28515625" bestFit="1" customWidth="1"/>
  </cols>
  <sheetData>
    <row r="1" spans="1:14" x14ac:dyDescent="0.25">
      <c r="A1" s="47" t="s">
        <v>0</v>
      </c>
      <c r="B1" s="16" t="s">
        <v>67</v>
      </c>
      <c r="C1" s="47" t="s">
        <v>7</v>
      </c>
      <c r="D1" s="47" t="s">
        <v>8</v>
      </c>
      <c r="E1" s="29" t="s">
        <v>1577</v>
      </c>
      <c r="F1" s="29" t="s">
        <v>1573</v>
      </c>
      <c r="G1" s="29" t="s">
        <v>1648</v>
      </c>
      <c r="H1" s="16" t="s">
        <v>18</v>
      </c>
      <c r="I1" s="16" t="s">
        <v>2</v>
      </c>
      <c r="J1" s="16" t="s">
        <v>1</v>
      </c>
      <c r="K1" s="16" t="s">
        <v>6</v>
      </c>
      <c r="L1" s="16" t="s">
        <v>5</v>
      </c>
      <c r="M1" s="16" t="s">
        <v>3</v>
      </c>
      <c r="N1" s="47" t="s">
        <v>4</v>
      </c>
    </row>
    <row r="2" spans="1:14" x14ac:dyDescent="0.25">
      <c r="A2" s="46">
        <f t="shared" ref="A2:A17" si="0">ROW()-1</f>
        <v>1</v>
      </c>
      <c r="B2" s="24" t="s">
        <v>289</v>
      </c>
      <c r="C2" s="4" t="str">
        <f t="shared" ref="C2:C17" si="1">"DIO-SCH"</f>
        <v>DIO-SCH</v>
      </c>
      <c r="D2" s="4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3A DO-214AC(SMA) AECQ</v>
      </c>
      <c r="E2" s="46" t="s">
        <v>168</v>
      </c>
      <c r="F2" s="49" t="s">
        <v>1205</v>
      </c>
      <c r="G2" s="46" t="s">
        <v>285</v>
      </c>
      <c r="H2" s="46" t="s">
        <v>204</v>
      </c>
      <c r="I2" s="46" t="s">
        <v>287</v>
      </c>
      <c r="J2" s="45" t="s">
        <v>68</v>
      </c>
      <c r="K2" s="46" t="s">
        <v>11</v>
      </c>
      <c r="L2" s="46" t="s">
        <v>10</v>
      </c>
      <c r="M2" s="47" t="s">
        <v>72</v>
      </c>
      <c r="N2" s="45" t="str">
        <f>SchottkyDiodes78[[#This Row],[Footprint]]</f>
        <v>DO-214AC(SMA)</v>
      </c>
    </row>
    <row r="3" spans="1:14" x14ac:dyDescent="0.25">
      <c r="A3" s="46">
        <f t="shared" si="0"/>
        <v>2</v>
      </c>
      <c r="B3" s="50" t="s">
        <v>289</v>
      </c>
      <c r="C3" s="176" t="str">
        <f t="shared" si="1"/>
        <v>DIO-SCH</v>
      </c>
      <c r="D3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4A SMA-FL AECQ</v>
      </c>
      <c r="E3" s="46" t="s">
        <v>168</v>
      </c>
      <c r="F3" s="25" t="s">
        <v>1206</v>
      </c>
      <c r="G3" s="46" t="s">
        <v>147</v>
      </c>
      <c r="H3" s="46" t="s">
        <v>209</v>
      </c>
      <c r="I3" s="46" t="s">
        <v>290</v>
      </c>
      <c r="J3" s="45" t="s">
        <v>222</v>
      </c>
      <c r="K3" s="46" t="s">
        <v>11</v>
      </c>
      <c r="L3" s="46" t="s">
        <v>10</v>
      </c>
      <c r="M3" s="47" t="s">
        <v>72</v>
      </c>
      <c r="N3" s="45" t="str">
        <f>SchottkyDiodes78[[#This Row],[Footprint]]</f>
        <v>SMA-FL</v>
      </c>
    </row>
    <row r="4" spans="1:14" x14ac:dyDescent="0.25">
      <c r="A4" s="46">
        <f t="shared" si="0"/>
        <v>3</v>
      </c>
      <c r="B4" s="24" t="s">
        <v>169</v>
      </c>
      <c r="C4" s="176" t="str">
        <f t="shared" si="1"/>
        <v>DIO-SCH</v>
      </c>
      <c r="D4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SOD-123W AECQ</v>
      </c>
      <c r="E4" s="46" t="s">
        <v>168</v>
      </c>
      <c r="F4" s="25" t="s">
        <v>1204</v>
      </c>
      <c r="G4" s="46" t="s">
        <v>141</v>
      </c>
      <c r="H4" s="46" t="s">
        <v>70</v>
      </c>
      <c r="I4" s="46" t="s">
        <v>172</v>
      </c>
      <c r="J4" s="45" t="s">
        <v>170</v>
      </c>
      <c r="K4" s="46" t="s">
        <v>11</v>
      </c>
      <c r="L4" s="46" t="s">
        <v>10</v>
      </c>
      <c r="M4" s="47" t="s">
        <v>72</v>
      </c>
      <c r="N4" s="45" t="str">
        <f>SchottkyDiodes78[[#This Row],[Footprint]]</f>
        <v>SOD-123W</v>
      </c>
    </row>
    <row r="5" spans="1:14" x14ac:dyDescent="0.25">
      <c r="A5" s="46">
        <f t="shared" si="0"/>
        <v>4</v>
      </c>
      <c r="B5" s="50" t="s">
        <v>169</v>
      </c>
      <c r="C5" s="176" t="str">
        <f t="shared" si="1"/>
        <v>DIO-SCH</v>
      </c>
      <c r="D5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SOD-123W STD</v>
      </c>
      <c r="E5" s="46" t="s">
        <v>168</v>
      </c>
      <c r="F5" s="25" t="s">
        <v>1204</v>
      </c>
      <c r="G5" s="46" t="s">
        <v>141</v>
      </c>
      <c r="H5" s="46" t="s">
        <v>70</v>
      </c>
      <c r="I5" s="46" t="s">
        <v>342</v>
      </c>
      <c r="J5" s="45" t="s">
        <v>170</v>
      </c>
      <c r="K5" s="46" t="s">
        <v>1561</v>
      </c>
      <c r="L5" s="46" t="s">
        <v>10</v>
      </c>
      <c r="M5" s="47" t="s">
        <v>340</v>
      </c>
      <c r="N5" s="45" t="str">
        <f>SchottkyDiodes78[[#This Row],[Footprint]]</f>
        <v>SOD-123W</v>
      </c>
    </row>
    <row r="6" spans="1:14" x14ac:dyDescent="0.25">
      <c r="A6" s="46">
        <f t="shared" si="0"/>
        <v>5</v>
      </c>
      <c r="B6" s="50" t="s">
        <v>169</v>
      </c>
      <c r="C6" s="176" t="str">
        <f t="shared" si="1"/>
        <v>DIO-SCH</v>
      </c>
      <c r="D6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SOD-123W STD</v>
      </c>
      <c r="E6" s="46" t="s">
        <v>168</v>
      </c>
      <c r="F6" s="25" t="s">
        <v>1204</v>
      </c>
      <c r="G6" s="46" t="s">
        <v>141</v>
      </c>
      <c r="H6" s="46" t="s">
        <v>70</v>
      </c>
      <c r="I6" s="46" t="s">
        <v>343</v>
      </c>
      <c r="J6" s="45" t="s">
        <v>170</v>
      </c>
      <c r="K6" s="46" t="s">
        <v>1561</v>
      </c>
      <c r="L6" s="46" t="s">
        <v>10</v>
      </c>
      <c r="M6" s="47" t="s">
        <v>340</v>
      </c>
      <c r="N6" s="45" t="str">
        <f>SchottkyDiodes78[[#This Row],[Footprint]]</f>
        <v>SOD-123W</v>
      </c>
    </row>
    <row r="7" spans="1:14" x14ac:dyDescent="0.25">
      <c r="A7" s="46">
        <f t="shared" si="0"/>
        <v>6</v>
      </c>
      <c r="B7" s="50" t="s">
        <v>169</v>
      </c>
      <c r="C7" s="176" t="str">
        <f t="shared" si="1"/>
        <v>DIO-SCH</v>
      </c>
      <c r="D7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SOD-123W AECQ</v>
      </c>
      <c r="E7" s="46" t="s">
        <v>168</v>
      </c>
      <c r="F7" s="25" t="s">
        <v>1204</v>
      </c>
      <c r="G7" s="46" t="s">
        <v>141</v>
      </c>
      <c r="H7" s="46" t="s">
        <v>70</v>
      </c>
      <c r="I7" s="46" t="s">
        <v>344</v>
      </c>
      <c r="J7" s="45" t="s">
        <v>170</v>
      </c>
      <c r="K7" s="46" t="s">
        <v>11</v>
      </c>
      <c r="L7" s="46" t="s">
        <v>10</v>
      </c>
      <c r="M7" s="47" t="s">
        <v>340</v>
      </c>
      <c r="N7" s="45" t="str">
        <f>SchottkyDiodes78[[#This Row],[Footprint]]</f>
        <v>SOD-123W</v>
      </c>
    </row>
    <row r="8" spans="1:14" x14ac:dyDescent="0.25">
      <c r="A8" s="46">
        <f t="shared" si="0"/>
        <v>7</v>
      </c>
      <c r="B8" s="50" t="s">
        <v>1026</v>
      </c>
      <c r="C8" s="176" t="str">
        <f t="shared" si="1"/>
        <v>DIO-SCH</v>
      </c>
      <c r="D8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SOD-123W STD</v>
      </c>
      <c r="E8" s="46" t="s">
        <v>168</v>
      </c>
      <c r="F8" s="25" t="s">
        <v>1204</v>
      </c>
      <c r="G8" s="46" t="s">
        <v>141</v>
      </c>
      <c r="H8" s="46" t="s">
        <v>70</v>
      </c>
      <c r="I8" s="46" t="s">
        <v>342</v>
      </c>
      <c r="J8" s="45" t="s">
        <v>170</v>
      </c>
      <c r="K8" s="46" t="s">
        <v>1561</v>
      </c>
      <c r="L8" s="46" t="s">
        <v>10</v>
      </c>
      <c r="M8" s="47" t="s">
        <v>340</v>
      </c>
      <c r="N8" s="45" t="str">
        <f>SchottkyDiodes78[[#This Row],[Footprint]]</f>
        <v>SOD-123W</v>
      </c>
    </row>
    <row r="9" spans="1:14" x14ac:dyDescent="0.25">
      <c r="A9" s="48">
        <f t="shared" si="0"/>
        <v>8</v>
      </c>
      <c r="B9" s="50" t="s">
        <v>1207</v>
      </c>
      <c r="C9" s="176" t="str">
        <f t="shared" si="1"/>
        <v>DIO-SCH</v>
      </c>
      <c r="D9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30V 1A SOD-323F STD</v>
      </c>
      <c r="E9" s="46" t="s">
        <v>275</v>
      </c>
      <c r="F9" s="46" t="s">
        <v>1208</v>
      </c>
      <c r="G9" s="46" t="s">
        <v>141</v>
      </c>
      <c r="H9" s="46" t="s">
        <v>215</v>
      </c>
      <c r="I9" s="46" t="s">
        <v>1209</v>
      </c>
      <c r="J9" s="45" t="s">
        <v>170</v>
      </c>
      <c r="K9" s="46" t="s">
        <v>1561</v>
      </c>
      <c r="L9" s="46" t="s">
        <v>10</v>
      </c>
      <c r="M9" s="47"/>
      <c r="N9" s="45" t="str">
        <f>SchottkyDiodes78[[#This Row],[Footprint]]</f>
        <v>SOD-323F</v>
      </c>
    </row>
    <row r="10" spans="1:14" x14ac:dyDescent="0.25">
      <c r="A10" s="46">
        <f t="shared" si="0"/>
        <v>9</v>
      </c>
      <c r="B10" s="24" t="s">
        <v>174</v>
      </c>
      <c r="C10" s="176" t="str">
        <f t="shared" si="1"/>
        <v>DIO-SCH</v>
      </c>
      <c r="D10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SOD-123W AECQ</v>
      </c>
      <c r="E10" s="46" t="s">
        <v>168</v>
      </c>
      <c r="F10" s="25" t="s">
        <v>1540</v>
      </c>
      <c r="G10" s="46" t="s">
        <v>141</v>
      </c>
      <c r="H10" s="46" t="s">
        <v>70</v>
      </c>
      <c r="I10" s="46" t="s">
        <v>173</v>
      </c>
      <c r="J10" s="45" t="s">
        <v>170</v>
      </c>
      <c r="K10" s="46" t="s">
        <v>11</v>
      </c>
      <c r="L10" s="46" t="s">
        <v>10</v>
      </c>
      <c r="M10" s="47" t="s">
        <v>72</v>
      </c>
      <c r="N10" s="45" t="str">
        <f>SchottkyDiodes78[[#This Row],[Footprint]]</f>
        <v>SOD-123W</v>
      </c>
    </row>
    <row r="11" spans="1:14" x14ac:dyDescent="0.25">
      <c r="A11" s="46">
        <f t="shared" si="0"/>
        <v>10</v>
      </c>
      <c r="B11" s="24" t="s">
        <v>174</v>
      </c>
      <c r="C11" s="176" t="str">
        <f t="shared" si="1"/>
        <v>DIO-SCH</v>
      </c>
      <c r="D11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SOD-123W STD</v>
      </c>
      <c r="E11" s="46" t="s">
        <v>168</v>
      </c>
      <c r="F11" s="25" t="s">
        <v>1540</v>
      </c>
      <c r="G11" s="46" t="s">
        <v>141</v>
      </c>
      <c r="H11" s="46" t="s">
        <v>70</v>
      </c>
      <c r="I11" s="46" t="s">
        <v>187</v>
      </c>
      <c r="J11" s="45" t="s">
        <v>170</v>
      </c>
      <c r="K11" s="46" t="s">
        <v>1561</v>
      </c>
      <c r="L11" s="46" t="s">
        <v>10</v>
      </c>
      <c r="M11" s="47" t="s">
        <v>72</v>
      </c>
      <c r="N11" s="45" t="str">
        <f>SchottkyDiodes78[[#This Row],[Footprint]]</f>
        <v>SOD-123W</v>
      </c>
    </row>
    <row r="12" spans="1:14" x14ac:dyDescent="0.25">
      <c r="A12" s="48">
        <f t="shared" si="0"/>
        <v>11</v>
      </c>
      <c r="B12" s="50" t="s">
        <v>1210</v>
      </c>
      <c r="C12" s="176" t="str">
        <f t="shared" si="1"/>
        <v>DIO-SCH</v>
      </c>
      <c r="D12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100V 1A SOD-123W STD</v>
      </c>
      <c r="E12" s="46" t="s">
        <v>57</v>
      </c>
      <c r="F12" s="46" t="s">
        <v>1211</v>
      </c>
      <c r="G12" s="46" t="s">
        <v>141</v>
      </c>
      <c r="H12" s="46" t="s">
        <v>70</v>
      </c>
      <c r="I12" s="46" t="s">
        <v>1212</v>
      </c>
      <c r="J12" s="45" t="s">
        <v>170</v>
      </c>
      <c r="K12" s="46" t="s">
        <v>1561</v>
      </c>
      <c r="L12" s="46" t="s">
        <v>10</v>
      </c>
      <c r="M12" s="47"/>
      <c r="N12" s="45" t="str">
        <f>SchottkyDiodes78[[#This Row],[Footprint]]</f>
        <v>SOD-123W</v>
      </c>
    </row>
    <row r="13" spans="1:14" x14ac:dyDescent="0.25">
      <c r="A13" s="48">
        <f t="shared" si="0"/>
        <v>12</v>
      </c>
      <c r="B13" s="50" t="s">
        <v>1210</v>
      </c>
      <c r="C13" s="176" t="str">
        <f t="shared" si="1"/>
        <v>DIO-SCH</v>
      </c>
      <c r="D13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100V 1A SOD-123W AECQ</v>
      </c>
      <c r="E13" s="46" t="s">
        <v>57</v>
      </c>
      <c r="F13" s="46" t="s">
        <v>1211</v>
      </c>
      <c r="G13" s="46" t="s">
        <v>141</v>
      </c>
      <c r="H13" s="46" t="s">
        <v>70</v>
      </c>
      <c r="I13" s="46" t="s">
        <v>1213</v>
      </c>
      <c r="J13" s="45" t="s">
        <v>170</v>
      </c>
      <c r="K13" s="46" t="s">
        <v>11</v>
      </c>
      <c r="L13" s="46" t="s">
        <v>10</v>
      </c>
      <c r="M13" s="47"/>
      <c r="N13" s="45" t="str">
        <f>SchottkyDiodes78[[#This Row],[Footprint]]</f>
        <v>SOD-123W</v>
      </c>
    </row>
    <row r="14" spans="1:14" x14ac:dyDescent="0.25">
      <c r="A14" s="48">
        <f t="shared" si="0"/>
        <v>13</v>
      </c>
      <c r="B14" s="50" t="s">
        <v>1210</v>
      </c>
      <c r="C14" s="176" t="str">
        <f t="shared" si="1"/>
        <v>DIO-SCH</v>
      </c>
      <c r="D14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100V 1A SOD-123W AECQ</v>
      </c>
      <c r="E14" s="46" t="s">
        <v>57</v>
      </c>
      <c r="F14" s="46" t="s">
        <v>1211</v>
      </c>
      <c r="G14" s="46" t="s">
        <v>141</v>
      </c>
      <c r="H14" s="46" t="s">
        <v>70</v>
      </c>
      <c r="I14" s="46" t="s">
        <v>1214</v>
      </c>
      <c r="J14" s="45" t="s">
        <v>170</v>
      </c>
      <c r="K14" s="46" t="s">
        <v>11</v>
      </c>
      <c r="L14" s="46" t="s">
        <v>10</v>
      </c>
      <c r="M14" s="47"/>
      <c r="N14" s="45" t="str">
        <f>SchottkyDiodes78[[#This Row],[Footprint]]</f>
        <v>SOD-123W</v>
      </c>
    </row>
    <row r="15" spans="1:14" x14ac:dyDescent="0.25">
      <c r="A15" s="48">
        <f t="shared" si="0"/>
        <v>14</v>
      </c>
      <c r="B15" s="50" t="s">
        <v>1215</v>
      </c>
      <c r="C15" s="176" t="str">
        <f t="shared" si="1"/>
        <v>DIO-SCH</v>
      </c>
      <c r="D15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40V 0.1A SOD-523 AECQ</v>
      </c>
      <c r="E15" s="46" t="s">
        <v>333</v>
      </c>
      <c r="F15" s="46" t="s">
        <v>1211</v>
      </c>
      <c r="G15" s="46" t="s">
        <v>143</v>
      </c>
      <c r="H15" s="46" t="s">
        <v>1216</v>
      </c>
      <c r="I15" s="46" t="s">
        <v>1217</v>
      </c>
      <c r="J15" s="45" t="s">
        <v>31</v>
      </c>
      <c r="K15" s="46" t="s">
        <v>11</v>
      </c>
      <c r="L15" s="46" t="s">
        <v>10</v>
      </c>
      <c r="M15" s="47"/>
      <c r="N15" s="45" t="str">
        <f>SchottkyDiodes78[[#This Row],[Footprint]]</f>
        <v>SOD-523</v>
      </c>
    </row>
    <row r="16" spans="1:14" x14ac:dyDescent="0.25">
      <c r="A16" s="48">
        <f t="shared" si="0"/>
        <v>15</v>
      </c>
      <c r="B16" s="50" t="s">
        <v>1215</v>
      </c>
      <c r="C16" s="176" t="str">
        <f t="shared" si="1"/>
        <v>DIO-SCH</v>
      </c>
      <c r="D16" s="176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40V 0.1A SOD-523 AECQ</v>
      </c>
      <c r="E16" s="46" t="s">
        <v>333</v>
      </c>
      <c r="F16" s="46" t="s">
        <v>1218</v>
      </c>
      <c r="G16" s="46" t="s">
        <v>143</v>
      </c>
      <c r="H16" s="46" t="s">
        <v>1216</v>
      </c>
      <c r="I16" s="46" t="s">
        <v>1219</v>
      </c>
      <c r="J16" s="45" t="s">
        <v>31</v>
      </c>
      <c r="K16" s="46" t="s">
        <v>11</v>
      </c>
      <c r="L16" s="46" t="s">
        <v>10</v>
      </c>
      <c r="M16" s="47"/>
      <c r="N16" s="45" t="str">
        <f>SchottkyDiodes78[[#This Row],[Footprint]]</f>
        <v>SOD-523</v>
      </c>
    </row>
    <row r="17" spans="1:14" x14ac:dyDescent="0.25">
      <c r="A17" s="48">
        <f t="shared" si="0"/>
        <v>16</v>
      </c>
      <c r="B17" s="50" t="s">
        <v>1650</v>
      </c>
      <c r="C17" s="232" t="str">
        <f t="shared" si="1"/>
        <v>DIO-SCH</v>
      </c>
      <c r="D17" s="232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60V 1A DO-219AB(SMF) AECQ</v>
      </c>
      <c r="E17" s="174" t="s">
        <v>168</v>
      </c>
      <c r="F17" s="174" t="s">
        <v>1649</v>
      </c>
      <c r="G17" s="174" t="s">
        <v>141</v>
      </c>
      <c r="H17" s="174" t="s">
        <v>205</v>
      </c>
      <c r="I17" s="174" t="s">
        <v>1647</v>
      </c>
      <c r="J17" t="s">
        <v>68</v>
      </c>
      <c r="K17" s="174" t="s">
        <v>11</v>
      </c>
      <c r="L17" s="8" t="s">
        <v>10</v>
      </c>
      <c r="M17" s="47"/>
      <c r="N17" s="232" t="str">
        <f>SchottkyDiodes78[[#This Row],[Footprint]]</f>
        <v>DO-219AB(SMF)</v>
      </c>
    </row>
    <row r="18" spans="1:14" x14ac:dyDescent="0.25">
      <c r="A18" s="48">
        <f>ROW()-1</f>
        <v>17</v>
      </c>
      <c r="B18" s="50" t="s">
        <v>1669</v>
      </c>
      <c r="C18" s="232" t="str">
        <f>"DIO-SCH"</f>
        <v>DIO-SCH</v>
      </c>
      <c r="D18" s="232" t="str">
        <f>CONCATENATE(SchottkyDiodes78[[#This Row],[Category]]," ",SchottkyDiodes78[[#This Row],[Max Reverse Voltage(V)]]," ",SchottkyDiodes78[[#This Row],[Avg Forward Current(V)]]," ",SchottkyDiodes78[[#This Row],[Footprint]]," ",SchottkyDiodes78[[#This Row],[Rating]])</f>
        <v>DIO-SCH 100V 1A SOD-123W AECQ</v>
      </c>
      <c r="E18" s="174" t="s">
        <v>57</v>
      </c>
      <c r="F18" s="174" t="s">
        <v>1670</v>
      </c>
      <c r="G18" s="174" t="s">
        <v>141</v>
      </c>
      <c r="H18" s="174" t="s">
        <v>70</v>
      </c>
      <c r="I18" s="174" t="s">
        <v>1668</v>
      </c>
      <c r="J18" t="s">
        <v>242</v>
      </c>
      <c r="K18" s="174" t="s">
        <v>11</v>
      </c>
      <c r="L18" s="8" t="s">
        <v>10</v>
      </c>
      <c r="M18" s="47"/>
      <c r="N18" s="232" t="str">
        <f>SchottkyDiodes78[[#This Row],[Footprint]]</f>
        <v>SOD-123W</v>
      </c>
    </row>
  </sheetData>
  <dataValidations count="6">
    <dataValidation type="list" allowBlank="1" showInputMessage="1" showErrorMessage="1" sqref="M2:M16">
      <formula1>Symbols_Diodes</formula1>
    </dataValidation>
    <dataValidation type="list" allowBlank="1" showInputMessage="1" showErrorMessage="1" sqref="M17:M1048576">
      <formula1>#REF!</formula1>
    </dataValidation>
    <dataValidation type="list" allowBlank="1" showInputMessage="1" showErrorMessage="1" sqref="L2:L18">
      <formula1>Process_List</formula1>
    </dataValidation>
    <dataValidation type="list" allowBlank="1" showInputMessage="1" showErrorMessage="1" sqref="K2:K18">
      <formula1>Rating_List</formula1>
    </dataValidation>
    <dataValidation type="list" allowBlank="1" showInputMessage="1" showErrorMessage="1" sqref="J2:J1048576">
      <formula1>Manufacturers_Diodes</formula1>
    </dataValidation>
    <dataValidation type="list" allowBlank="1" showInputMessage="1" showErrorMessage="1" sqref="H2:H18">
      <formula1>Footprints_Diodes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'Rating&amp;Process List'!#REF!</xm:f>
          </x14:formula1>
          <xm:sqref>N17:N1048576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7"/>
  <sheetViews>
    <sheetView zoomScale="85" zoomScaleNormal="85" workbookViewId="0">
      <pane ySplit="1" topLeftCell="A2" activePane="bottomLeft" state="frozen"/>
      <selection pane="bottomLeft" activeCell="D47" sqref="D47"/>
    </sheetView>
  </sheetViews>
  <sheetFormatPr defaultRowHeight="15" x14ac:dyDescent="0.25"/>
  <cols>
    <col min="1" max="1" width="7.28515625" bestFit="1" customWidth="1"/>
    <col min="2" max="3" width="15.28515625" bestFit="1" customWidth="1"/>
    <col min="4" max="4" width="57.42578125" bestFit="1" customWidth="1"/>
    <col min="5" max="5" width="29" customWidth="1"/>
    <col min="6" max="6" width="22.7109375" bestFit="1" customWidth="1"/>
    <col min="7" max="7" width="27.42578125" bestFit="1" customWidth="1"/>
    <col min="8" max="8" width="13.85546875" bestFit="1" customWidth="1"/>
    <col min="9" max="9" width="17.42578125" bestFit="1" customWidth="1"/>
    <col min="10" max="10" width="21" bestFit="1" customWidth="1"/>
    <col min="11" max="11" width="23.28515625" bestFit="1" customWidth="1"/>
    <col min="12" max="12" width="14.140625" bestFit="1" customWidth="1"/>
    <col min="13" max="13" width="10" bestFit="1" customWidth="1"/>
    <col min="14" max="14" width="50.28515625" bestFit="1" customWidth="1"/>
    <col min="15" max="15" width="33.85546875" bestFit="1" customWidth="1"/>
    <col min="16" max="16" width="22.28515625" bestFit="1" customWidth="1"/>
  </cols>
  <sheetData>
    <row r="1" spans="1:16" x14ac:dyDescent="0.25">
      <c r="A1" s="45" t="s">
        <v>0</v>
      </c>
      <c r="B1" s="7" t="s">
        <v>67</v>
      </c>
      <c r="C1" s="45" t="s">
        <v>7</v>
      </c>
      <c r="D1" s="45" t="s">
        <v>8</v>
      </c>
      <c r="E1" s="7" t="s">
        <v>175</v>
      </c>
      <c r="F1" s="7" t="s">
        <v>176</v>
      </c>
      <c r="G1" s="7" t="s">
        <v>1220</v>
      </c>
      <c r="H1" s="7" t="s">
        <v>177</v>
      </c>
      <c r="I1" s="7" t="s">
        <v>18</v>
      </c>
      <c r="J1" s="7" t="s">
        <v>2</v>
      </c>
      <c r="K1" s="7" t="s">
        <v>1</v>
      </c>
      <c r="L1" s="7" t="s">
        <v>6</v>
      </c>
      <c r="M1" s="7" t="s">
        <v>5</v>
      </c>
      <c r="N1" s="7" t="s">
        <v>3</v>
      </c>
      <c r="O1" s="45" t="s">
        <v>4</v>
      </c>
      <c r="P1" s="7" t="s">
        <v>251</v>
      </c>
    </row>
    <row r="2" spans="1:16" x14ac:dyDescent="0.25">
      <c r="A2" s="28">
        <f t="shared" ref="A2:A11" si="0">ROW()-1</f>
        <v>1</v>
      </c>
      <c r="B2" s="107" t="s">
        <v>183</v>
      </c>
      <c r="C2" s="108" t="str">
        <f t="shared" ref="C2:C46" si="1">"DIO-TVS"</f>
        <v>DIO-TVS</v>
      </c>
      <c r="D2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54V 400W 4.6A Uni-Polar SOD-123W AECQ</v>
      </c>
      <c r="E2" s="28" t="s">
        <v>181</v>
      </c>
      <c r="F2" s="108" t="s">
        <v>180</v>
      </c>
      <c r="G2" s="28" t="s">
        <v>182</v>
      </c>
      <c r="H2" s="28" t="s">
        <v>1032</v>
      </c>
      <c r="I2" s="110" t="s">
        <v>70</v>
      </c>
      <c r="J2" s="151" t="s">
        <v>179</v>
      </c>
      <c r="K2" s="28" t="s">
        <v>170</v>
      </c>
      <c r="L2" s="28" t="s">
        <v>11</v>
      </c>
      <c r="M2" s="174" t="s">
        <v>10</v>
      </c>
      <c r="N2" s="110" t="s">
        <v>73</v>
      </c>
      <c r="O2" s="79" t="str">
        <f>TVSDiodes79[[#This Row],[Footprint]]</f>
        <v>SOD-123W</v>
      </c>
      <c r="P2" s="79"/>
    </row>
    <row r="3" spans="1:16" x14ac:dyDescent="0.25">
      <c r="A3" s="28">
        <f t="shared" si="0"/>
        <v>2</v>
      </c>
      <c r="B3" s="111" t="s">
        <v>229</v>
      </c>
      <c r="C3" s="108" t="str">
        <f t="shared" si="1"/>
        <v>DIO-TVS</v>
      </c>
      <c r="D3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39V 600W 11.3A Bi-Polar DO-214AA(SMB) AECQ</v>
      </c>
      <c r="E3" s="112" t="s">
        <v>230</v>
      </c>
      <c r="F3" s="28" t="s">
        <v>231</v>
      </c>
      <c r="G3" s="28" t="s">
        <v>234</v>
      </c>
      <c r="H3" s="28" t="s">
        <v>178</v>
      </c>
      <c r="I3" s="113" t="s">
        <v>69</v>
      </c>
      <c r="J3" s="151" t="s">
        <v>232</v>
      </c>
      <c r="K3" s="114" t="s">
        <v>225</v>
      </c>
      <c r="L3" s="28" t="s">
        <v>11</v>
      </c>
      <c r="M3" s="174" t="s">
        <v>10</v>
      </c>
      <c r="N3" s="110" t="s">
        <v>73</v>
      </c>
      <c r="O3" s="79" t="str">
        <f>TVSDiodes79[[#This Row],[Footprint]]</f>
        <v>DO-214AA(SMB)</v>
      </c>
      <c r="P3" s="79"/>
    </row>
    <row r="4" spans="1:16" x14ac:dyDescent="0.25">
      <c r="A4" s="28">
        <f t="shared" si="0"/>
        <v>3</v>
      </c>
      <c r="B4" s="111" t="s">
        <v>229</v>
      </c>
      <c r="C4" s="108" t="str">
        <f t="shared" si="1"/>
        <v>DIO-TVS</v>
      </c>
      <c r="D4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39V 600W 11.1A Bi-Polar DO-214AA(SMB) AECQ</v>
      </c>
      <c r="E4" s="112" t="s">
        <v>230</v>
      </c>
      <c r="F4" s="28" t="s">
        <v>231</v>
      </c>
      <c r="G4" s="28" t="s">
        <v>235</v>
      </c>
      <c r="H4" s="28" t="s">
        <v>178</v>
      </c>
      <c r="I4" s="113" t="s">
        <v>69</v>
      </c>
      <c r="J4" s="151" t="s">
        <v>233</v>
      </c>
      <c r="K4" s="114" t="s">
        <v>34</v>
      </c>
      <c r="L4" s="28" t="s">
        <v>11</v>
      </c>
      <c r="M4" s="174" t="s">
        <v>10</v>
      </c>
      <c r="N4" s="110" t="s">
        <v>73</v>
      </c>
      <c r="O4" s="79" t="str">
        <f>TVSDiodes79[[#This Row],[Footprint]]</f>
        <v>DO-214AA(SMB)</v>
      </c>
      <c r="P4" s="79"/>
    </row>
    <row r="5" spans="1:16" x14ac:dyDescent="0.25">
      <c r="A5" s="57">
        <f>ROW()-1</f>
        <v>4</v>
      </c>
      <c r="B5" s="111" t="s">
        <v>229</v>
      </c>
      <c r="C5" s="108" t="str">
        <f t="shared" si="1"/>
        <v>DIO-TVS</v>
      </c>
      <c r="D5" s="115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39V 600W 11.1A Bi-Polar DO-214AA(SMB) STD</v>
      </c>
      <c r="E5" s="112" t="s">
        <v>230</v>
      </c>
      <c r="F5" s="28" t="s">
        <v>231</v>
      </c>
      <c r="G5" s="28" t="s">
        <v>235</v>
      </c>
      <c r="H5" s="28" t="s">
        <v>178</v>
      </c>
      <c r="I5" s="113" t="s">
        <v>69</v>
      </c>
      <c r="J5" s="151" t="s">
        <v>1221</v>
      </c>
      <c r="K5" s="114" t="s">
        <v>34</v>
      </c>
      <c r="L5" s="28" t="s">
        <v>1561</v>
      </c>
      <c r="M5" s="174" t="s">
        <v>10</v>
      </c>
      <c r="N5" s="110" t="s">
        <v>73</v>
      </c>
      <c r="O5" s="79" t="str">
        <f>TVSDiodes79[[#This Row],[Footprint]]</f>
        <v>DO-214AA(SMB)</v>
      </c>
      <c r="P5" s="79"/>
    </row>
    <row r="6" spans="1:16" x14ac:dyDescent="0.25">
      <c r="A6" s="28">
        <f t="shared" si="0"/>
        <v>5</v>
      </c>
      <c r="B6" s="111" t="s">
        <v>229</v>
      </c>
      <c r="C6" s="108" t="str">
        <f t="shared" si="1"/>
        <v>DIO-TVS</v>
      </c>
      <c r="D6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39V 600W 11.1A Bi-Polar DO-214AA(SMB) AECQ</v>
      </c>
      <c r="E6" s="112" t="s">
        <v>230</v>
      </c>
      <c r="F6" s="28" t="s">
        <v>231</v>
      </c>
      <c r="G6" s="28" t="s">
        <v>235</v>
      </c>
      <c r="H6" s="28" t="s">
        <v>178</v>
      </c>
      <c r="I6" s="113" t="s">
        <v>69</v>
      </c>
      <c r="J6" s="151" t="s">
        <v>236</v>
      </c>
      <c r="K6" s="114" t="s">
        <v>224</v>
      </c>
      <c r="L6" s="28" t="s">
        <v>11</v>
      </c>
      <c r="M6" s="174" t="s">
        <v>10</v>
      </c>
      <c r="N6" s="110" t="s">
        <v>73</v>
      </c>
      <c r="O6" s="79" t="str">
        <f>TVSDiodes79[[#This Row],[Footprint]]</f>
        <v>DO-214AA(SMB)</v>
      </c>
      <c r="P6" s="79"/>
    </row>
    <row r="7" spans="1:16" x14ac:dyDescent="0.25">
      <c r="A7" s="116">
        <f t="shared" si="0"/>
        <v>6</v>
      </c>
      <c r="B7" s="111" t="s">
        <v>258</v>
      </c>
      <c r="C7" s="108" t="str">
        <f t="shared" si="1"/>
        <v>DIO-TVS</v>
      </c>
      <c r="D7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36V 600W 12A Bi-Polar DO-214AA(SMB) STD</v>
      </c>
      <c r="E7" s="28" t="s">
        <v>257</v>
      </c>
      <c r="F7" s="28" t="s">
        <v>231</v>
      </c>
      <c r="G7" s="28" t="s">
        <v>256</v>
      </c>
      <c r="H7" s="28" t="s">
        <v>178</v>
      </c>
      <c r="I7" s="113" t="s">
        <v>69</v>
      </c>
      <c r="J7" s="151" t="s">
        <v>255</v>
      </c>
      <c r="K7" s="28" t="s">
        <v>224</v>
      </c>
      <c r="L7" s="28" t="s">
        <v>1561</v>
      </c>
      <c r="M7" s="174" t="s">
        <v>10</v>
      </c>
      <c r="N7" s="110" t="s">
        <v>73</v>
      </c>
      <c r="O7" s="79" t="str">
        <f>TVSDiodes79[[#This Row],[Footprint]]</f>
        <v>DO-214AA(SMB)</v>
      </c>
      <c r="P7" s="79"/>
    </row>
    <row r="8" spans="1:16" x14ac:dyDescent="0.25">
      <c r="A8" s="116">
        <f t="shared" si="0"/>
        <v>7</v>
      </c>
      <c r="B8" s="111" t="s">
        <v>258</v>
      </c>
      <c r="C8" s="108" t="str">
        <f t="shared" si="1"/>
        <v>DIO-TVS</v>
      </c>
      <c r="D8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36V 600W 10.3A Bi-Polar DO-214AA(SMB) AECQ</v>
      </c>
      <c r="E8" s="28" t="s">
        <v>257</v>
      </c>
      <c r="F8" s="28" t="s">
        <v>231</v>
      </c>
      <c r="G8" s="28" t="s">
        <v>260</v>
      </c>
      <c r="H8" s="28" t="s">
        <v>178</v>
      </c>
      <c r="I8" s="113" t="s">
        <v>69</v>
      </c>
      <c r="J8" s="151" t="s">
        <v>259</v>
      </c>
      <c r="K8" s="28" t="s">
        <v>68</v>
      </c>
      <c r="L8" s="28" t="s">
        <v>11</v>
      </c>
      <c r="M8" s="174" t="s">
        <v>10</v>
      </c>
      <c r="N8" s="110" t="s">
        <v>73</v>
      </c>
      <c r="O8" s="79" t="str">
        <f>TVSDiodes79[[#This Row],[Footprint]]</f>
        <v>DO-214AA(SMB)</v>
      </c>
      <c r="P8" s="79"/>
    </row>
    <row r="9" spans="1:16" x14ac:dyDescent="0.25">
      <c r="A9" s="116">
        <f t="shared" si="0"/>
        <v>8</v>
      </c>
      <c r="B9" s="111" t="s">
        <v>271</v>
      </c>
      <c r="C9" s="108" t="str">
        <f t="shared" si="1"/>
        <v>DIO-TVS</v>
      </c>
      <c r="D9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9" s="28" t="s">
        <v>275</v>
      </c>
      <c r="F9" s="28" t="s">
        <v>231</v>
      </c>
      <c r="G9" s="28" t="s">
        <v>276</v>
      </c>
      <c r="H9" s="28" t="s">
        <v>178</v>
      </c>
      <c r="I9" s="113" t="s">
        <v>69</v>
      </c>
      <c r="J9" s="151" t="s">
        <v>272</v>
      </c>
      <c r="K9" s="28" t="s">
        <v>34</v>
      </c>
      <c r="L9" s="28" t="s">
        <v>11</v>
      </c>
      <c r="M9" s="174" t="s">
        <v>10</v>
      </c>
      <c r="N9" s="110" t="s">
        <v>73</v>
      </c>
      <c r="O9" s="79" t="str">
        <f>TVSDiodes79[[#This Row],[Footprint]]</f>
        <v>DO-214AA(SMB)</v>
      </c>
      <c r="P9" s="79"/>
    </row>
    <row r="10" spans="1:16" x14ac:dyDescent="0.25">
      <c r="A10" s="116">
        <f t="shared" si="0"/>
        <v>9</v>
      </c>
      <c r="B10" s="111" t="s">
        <v>271</v>
      </c>
      <c r="C10" s="108" t="str">
        <f t="shared" si="1"/>
        <v>DIO-TVS</v>
      </c>
      <c r="D10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10" s="28" t="s">
        <v>275</v>
      </c>
      <c r="F10" s="28" t="s">
        <v>231</v>
      </c>
      <c r="G10" s="28" t="s">
        <v>276</v>
      </c>
      <c r="H10" s="28" t="s">
        <v>178</v>
      </c>
      <c r="I10" s="113" t="s">
        <v>69</v>
      </c>
      <c r="J10" s="151" t="s">
        <v>1222</v>
      </c>
      <c r="K10" s="28" t="s">
        <v>224</v>
      </c>
      <c r="L10" s="28" t="s">
        <v>11</v>
      </c>
      <c r="M10" s="174" t="s">
        <v>10</v>
      </c>
      <c r="N10" s="110" t="s">
        <v>73</v>
      </c>
      <c r="O10" s="79" t="str">
        <f>TVSDiodes79[[#This Row],[Footprint]]</f>
        <v>DO-214AA(SMB)</v>
      </c>
      <c r="P10" s="79"/>
    </row>
    <row r="11" spans="1:16" x14ac:dyDescent="0.25">
      <c r="A11" s="116">
        <f t="shared" si="0"/>
        <v>10</v>
      </c>
      <c r="B11" s="111" t="s">
        <v>271</v>
      </c>
      <c r="C11" s="108" t="str">
        <f t="shared" si="1"/>
        <v>DIO-TVS</v>
      </c>
      <c r="D11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11" s="28" t="s">
        <v>275</v>
      </c>
      <c r="F11" s="28" t="s">
        <v>231</v>
      </c>
      <c r="G11" s="28" t="s">
        <v>276</v>
      </c>
      <c r="H11" s="28" t="s">
        <v>178</v>
      </c>
      <c r="I11" s="113" t="s">
        <v>69</v>
      </c>
      <c r="J11" s="151" t="s">
        <v>274</v>
      </c>
      <c r="K11" s="28" t="s">
        <v>34</v>
      </c>
      <c r="L11" s="28" t="s">
        <v>11</v>
      </c>
      <c r="M11" s="174" t="s">
        <v>10</v>
      </c>
      <c r="N11" s="110" t="s">
        <v>73</v>
      </c>
      <c r="O11" s="79" t="str">
        <f>TVSDiodes79[[#This Row],[Footprint]]</f>
        <v>DO-214AA(SMB)</v>
      </c>
      <c r="P11" s="79"/>
    </row>
    <row r="12" spans="1:16" s="33" customFormat="1" x14ac:dyDescent="0.25">
      <c r="A12" s="152">
        <f>ROW()-1</f>
        <v>11</v>
      </c>
      <c r="B12" s="153" t="s">
        <v>280</v>
      </c>
      <c r="C12" s="108" t="str">
        <f t="shared" si="1"/>
        <v>DIO-TVS</v>
      </c>
      <c r="D12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Bi-Polar DO-214AA(SMB) AECQ</v>
      </c>
      <c r="E12" s="28" t="s">
        <v>278</v>
      </c>
      <c r="F12" s="28" t="s">
        <v>231</v>
      </c>
      <c r="G12" s="28" t="s">
        <v>279</v>
      </c>
      <c r="H12" s="28" t="s">
        <v>178</v>
      </c>
      <c r="I12" s="113" t="s">
        <v>69</v>
      </c>
      <c r="J12" s="151" t="s">
        <v>277</v>
      </c>
      <c r="K12" s="28" t="s">
        <v>34</v>
      </c>
      <c r="L12" s="28" t="s">
        <v>11</v>
      </c>
      <c r="M12" s="174" t="s">
        <v>10</v>
      </c>
      <c r="N12" s="110" t="s">
        <v>73</v>
      </c>
      <c r="O12" s="79" t="str">
        <f>TVSDiodes79[[#This Row],[Footprint]]</f>
        <v>DO-214AA(SMB)</v>
      </c>
      <c r="P12" s="79"/>
    </row>
    <row r="13" spans="1:16" s="33" customFormat="1" x14ac:dyDescent="0.25">
      <c r="A13" s="152">
        <f>ROW()-1</f>
        <v>12</v>
      </c>
      <c r="B13" s="153" t="s">
        <v>280</v>
      </c>
      <c r="C13" s="108" t="str">
        <f t="shared" si="1"/>
        <v>DIO-TVS</v>
      </c>
      <c r="D13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Bi-Polar DO-214AA(SMB) AECQ</v>
      </c>
      <c r="E13" s="28" t="s">
        <v>278</v>
      </c>
      <c r="F13" s="28" t="s">
        <v>231</v>
      </c>
      <c r="G13" s="28" t="s">
        <v>279</v>
      </c>
      <c r="H13" s="28" t="s">
        <v>178</v>
      </c>
      <c r="I13" s="113" t="s">
        <v>69</v>
      </c>
      <c r="J13" s="151" t="s">
        <v>281</v>
      </c>
      <c r="K13" s="28" t="s">
        <v>224</v>
      </c>
      <c r="L13" s="28" t="s">
        <v>11</v>
      </c>
      <c r="M13" s="174" t="s">
        <v>10</v>
      </c>
      <c r="N13" s="110" t="s">
        <v>73</v>
      </c>
      <c r="O13" s="79" t="str">
        <f>TVSDiodes79[[#This Row],[Footprint]]</f>
        <v>DO-214AA(SMB)</v>
      </c>
      <c r="P13" s="79"/>
    </row>
    <row r="14" spans="1:16" x14ac:dyDescent="0.25">
      <c r="A14" s="152">
        <f>ROW()-1</f>
        <v>13</v>
      </c>
      <c r="B14" s="153" t="s">
        <v>280</v>
      </c>
      <c r="C14" s="154" t="str">
        <f t="shared" si="1"/>
        <v>DIO-TVS</v>
      </c>
      <c r="D14" s="155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Bi-Polar DO-214AA(SMB) STD</v>
      </c>
      <c r="E14" s="151" t="s">
        <v>278</v>
      </c>
      <c r="F14" s="151" t="s">
        <v>231</v>
      </c>
      <c r="G14" s="151" t="s">
        <v>279</v>
      </c>
      <c r="H14" s="151" t="s">
        <v>178</v>
      </c>
      <c r="I14" s="156" t="s">
        <v>69</v>
      </c>
      <c r="J14" s="151" t="s">
        <v>1223</v>
      </c>
      <c r="K14" s="151" t="s">
        <v>34</v>
      </c>
      <c r="L14" s="151" t="s">
        <v>1561</v>
      </c>
      <c r="M14" s="174" t="s">
        <v>10</v>
      </c>
      <c r="N14" s="156" t="s">
        <v>73</v>
      </c>
      <c r="O14" s="123" t="str">
        <f>TVSDiodes79[[#This Row],[Footprint]]</f>
        <v>DO-214AA(SMB)</v>
      </c>
      <c r="P14" s="123"/>
    </row>
    <row r="15" spans="1:16" x14ac:dyDescent="0.25">
      <c r="A15" s="152">
        <f>ROW()-1</f>
        <v>14</v>
      </c>
      <c r="B15" s="153" t="s">
        <v>294</v>
      </c>
      <c r="C15" s="108" t="str">
        <f t="shared" si="1"/>
        <v>DIO-TVS</v>
      </c>
      <c r="D15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15" s="28" t="s">
        <v>275</v>
      </c>
      <c r="F15" s="28" t="s">
        <v>231</v>
      </c>
      <c r="G15" s="28" t="s">
        <v>276</v>
      </c>
      <c r="H15" s="28" t="s">
        <v>178</v>
      </c>
      <c r="I15" s="113" t="s">
        <v>69</v>
      </c>
      <c r="J15" s="151" t="s">
        <v>274</v>
      </c>
      <c r="K15" s="28" t="s">
        <v>34</v>
      </c>
      <c r="L15" s="28" t="s">
        <v>11</v>
      </c>
      <c r="M15" s="174" t="s">
        <v>10</v>
      </c>
      <c r="N15" s="110" t="s">
        <v>73</v>
      </c>
      <c r="O15" s="79" t="str">
        <f>TVSDiodes79[[#This Row],[Footprint]]</f>
        <v>DO-214AA(SMB)</v>
      </c>
      <c r="P15" s="79"/>
    </row>
    <row r="16" spans="1:16" s="33" customFormat="1" x14ac:dyDescent="0.25">
      <c r="A16" s="152">
        <f t="shared" ref="A16:A20" si="2">ROW()-1</f>
        <v>15</v>
      </c>
      <c r="B16" s="153" t="s">
        <v>345</v>
      </c>
      <c r="C16" s="108" t="str">
        <f t="shared" si="1"/>
        <v>DIO-TVS</v>
      </c>
      <c r="D16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600W 10.6A Bi-Polar DO-214AA(SMB) STD</v>
      </c>
      <c r="E16" s="28" t="s">
        <v>346</v>
      </c>
      <c r="F16" s="28" t="s">
        <v>231</v>
      </c>
      <c r="G16" s="28" t="s">
        <v>1224</v>
      </c>
      <c r="H16" s="28" t="s">
        <v>178</v>
      </c>
      <c r="I16" s="113" t="s">
        <v>69</v>
      </c>
      <c r="J16" s="151" t="s">
        <v>347</v>
      </c>
      <c r="K16" s="28" t="s">
        <v>242</v>
      </c>
      <c r="L16" s="28" t="s">
        <v>1561</v>
      </c>
      <c r="M16" s="174" t="s">
        <v>10</v>
      </c>
      <c r="N16" s="110" t="s">
        <v>73</v>
      </c>
      <c r="O16" s="79" t="str">
        <f>TVSDiodes79[[#This Row],[Footprint]]</f>
        <v>DO-214AA(SMB)</v>
      </c>
      <c r="P16" s="79"/>
    </row>
    <row r="17" spans="1:16" x14ac:dyDescent="0.25">
      <c r="A17" s="152">
        <f t="shared" si="2"/>
        <v>16</v>
      </c>
      <c r="B17" s="153" t="s">
        <v>345</v>
      </c>
      <c r="C17" s="108" t="str">
        <f t="shared" si="1"/>
        <v>DIO-TVS</v>
      </c>
      <c r="D17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600W 13.1A Bi-Polar DO-214AA(SMB) AECQ</v>
      </c>
      <c r="E17" s="28" t="s">
        <v>346</v>
      </c>
      <c r="F17" s="28" t="s">
        <v>231</v>
      </c>
      <c r="G17" s="28" t="s">
        <v>348</v>
      </c>
      <c r="H17" s="28" t="s">
        <v>178</v>
      </c>
      <c r="I17" s="113" t="s">
        <v>69</v>
      </c>
      <c r="J17" s="151" t="s">
        <v>349</v>
      </c>
      <c r="K17" s="28" t="s">
        <v>34</v>
      </c>
      <c r="L17" s="28" t="s">
        <v>11</v>
      </c>
      <c r="M17" s="174" t="s">
        <v>10</v>
      </c>
      <c r="N17" s="110" t="s">
        <v>73</v>
      </c>
      <c r="O17" s="79" t="str">
        <f>TVSDiodes79[[#This Row],[Footprint]]</f>
        <v>DO-214AA(SMB)</v>
      </c>
      <c r="P17" s="79"/>
    </row>
    <row r="18" spans="1:16" x14ac:dyDescent="0.25">
      <c r="A18" s="152">
        <f t="shared" si="2"/>
        <v>17</v>
      </c>
      <c r="B18" s="153" t="s">
        <v>345</v>
      </c>
      <c r="C18" s="108" t="str">
        <f t="shared" si="1"/>
        <v>DIO-TVS</v>
      </c>
      <c r="D18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600W 11.3A Bi-Polar DO-214AA(SMB) AECQ</v>
      </c>
      <c r="E18" s="151" t="s">
        <v>346</v>
      </c>
      <c r="F18" s="151" t="s">
        <v>231</v>
      </c>
      <c r="G18" s="151" t="s">
        <v>234</v>
      </c>
      <c r="H18" s="151" t="s">
        <v>178</v>
      </c>
      <c r="I18" s="157" t="s">
        <v>69</v>
      </c>
      <c r="J18" s="151" t="s">
        <v>1036</v>
      </c>
      <c r="K18" s="28" t="s">
        <v>34</v>
      </c>
      <c r="L18" s="28" t="s">
        <v>11</v>
      </c>
      <c r="M18" s="174" t="s">
        <v>10</v>
      </c>
      <c r="N18" s="110" t="s">
        <v>73</v>
      </c>
      <c r="O18" s="79" t="str">
        <f>TVSDiodes79[[#This Row],[Footprint]]</f>
        <v>DO-214AA(SMB)</v>
      </c>
      <c r="P18" s="79"/>
    </row>
    <row r="19" spans="1:16" x14ac:dyDescent="0.25">
      <c r="A19" s="152">
        <f t="shared" si="2"/>
        <v>18</v>
      </c>
      <c r="B19" s="153" t="s">
        <v>345</v>
      </c>
      <c r="C19" s="108" t="str">
        <f t="shared" si="1"/>
        <v>DIO-TVS</v>
      </c>
      <c r="D19" s="155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600W 11.3A Bi-Polar DO-214AA(SMB) AECQ</v>
      </c>
      <c r="E19" s="151" t="s">
        <v>346</v>
      </c>
      <c r="F19" s="151" t="s">
        <v>231</v>
      </c>
      <c r="G19" s="151" t="s">
        <v>234</v>
      </c>
      <c r="H19" s="151" t="s">
        <v>178</v>
      </c>
      <c r="I19" s="156" t="s">
        <v>69</v>
      </c>
      <c r="J19" s="151" t="s">
        <v>1624</v>
      </c>
      <c r="K19" s="151" t="s">
        <v>34</v>
      </c>
      <c r="L19" s="151" t="s">
        <v>11</v>
      </c>
      <c r="M19" s="174" t="s">
        <v>10</v>
      </c>
      <c r="N19" s="156" t="s">
        <v>73</v>
      </c>
      <c r="O19" s="123" t="str">
        <f>TVSDiodes79[[#This Row],[Footprint]]</f>
        <v>DO-214AA(SMB)</v>
      </c>
      <c r="P19" s="123"/>
    </row>
    <row r="20" spans="1:16" x14ac:dyDescent="0.25">
      <c r="A20" s="152">
        <f t="shared" si="2"/>
        <v>19</v>
      </c>
      <c r="B20" s="153" t="s">
        <v>345</v>
      </c>
      <c r="C20" s="108" t="str">
        <f t="shared" si="1"/>
        <v>DIO-TVS</v>
      </c>
      <c r="D20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600W 11.3A Bi-Polar DO-214AA(SMB) AECQ</v>
      </c>
      <c r="E20" s="151" t="s">
        <v>346</v>
      </c>
      <c r="F20" s="151" t="s">
        <v>231</v>
      </c>
      <c r="G20" s="151" t="s">
        <v>234</v>
      </c>
      <c r="H20" s="151" t="s">
        <v>178</v>
      </c>
      <c r="I20" s="157" t="s">
        <v>69</v>
      </c>
      <c r="J20" s="151" t="s">
        <v>1037</v>
      </c>
      <c r="K20" s="28" t="s">
        <v>34</v>
      </c>
      <c r="L20" s="28" t="s">
        <v>11</v>
      </c>
      <c r="M20" s="174" t="s">
        <v>10</v>
      </c>
      <c r="N20" s="110" t="s">
        <v>73</v>
      </c>
      <c r="O20" s="79" t="str">
        <f>TVSDiodes79[[#This Row],[Footprint]]</f>
        <v>DO-214AA(SMB)</v>
      </c>
      <c r="P20" s="79"/>
    </row>
    <row r="21" spans="1:16" s="54" customFormat="1" x14ac:dyDescent="0.25">
      <c r="A21" s="152">
        <f>ROW()-1</f>
        <v>20</v>
      </c>
      <c r="B21" s="153" t="s">
        <v>1028</v>
      </c>
      <c r="C21" s="108" t="str">
        <f t="shared" si="1"/>
        <v>DIO-TVS</v>
      </c>
      <c r="D21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36V 600W 12A Bi-Polar DO-214AA(SMB) STD</v>
      </c>
      <c r="E21" s="28" t="s">
        <v>257</v>
      </c>
      <c r="F21" s="28" t="s">
        <v>231</v>
      </c>
      <c r="G21" s="28" t="s">
        <v>256</v>
      </c>
      <c r="H21" s="28" t="s">
        <v>178</v>
      </c>
      <c r="I21" s="113" t="s">
        <v>69</v>
      </c>
      <c r="J21" s="151" t="s">
        <v>255</v>
      </c>
      <c r="K21" s="28" t="s">
        <v>224</v>
      </c>
      <c r="L21" s="28" t="s">
        <v>1561</v>
      </c>
      <c r="M21" s="174" t="s">
        <v>10</v>
      </c>
      <c r="N21" s="110" t="s">
        <v>73</v>
      </c>
      <c r="O21" s="79" t="str">
        <f>TVSDiodes79[[#This Row],[Footprint]]</f>
        <v>DO-214AA(SMB)</v>
      </c>
      <c r="P21" s="79"/>
    </row>
    <row r="22" spans="1:16" x14ac:dyDescent="0.25">
      <c r="A22" s="152">
        <f>ROW()-1</f>
        <v>21</v>
      </c>
      <c r="B22" s="153" t="s">
        <v>1029</v>
      </c>
      <c r="C22" s="108" t="str">
        <f t="shared" si="1"/>
        <v>DIO-TVS</v>
      </c>
      <c r="D22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STD</v>
      </c>
      <c r="E22" s="151" t="s">
        <v>275</v>
      </c>
      <c r="F22" s="151" t="s">
        <v>231</v>
      </c>
      <c r="G22" s="151" t="s">
        <v>276</v>
      </c>
      <c r="H22" s="151" t="s">
        <v>178</v>
      </c>
      <c r="I22" s="113" t="s">
        <v>69</v>
      </c>
      <c r="J22" s="151" t="s">
        <v>1038</v>
      </c>
      <c r="K22" s="28" t="s">
        <v>34</v>
      </c>
      <c r="L22" s="28" t="s">
        <v>1561</v>
      </c>
      <c r="M22" s="174" t="s">
        <v>10</v>
      </c>
      <c r="N22" s="110" t="s">
        <v>73</v>
      </c>
      <c r="O22" s="79" t="str">
        <f>TVSDiodes79[[#This Row],[Footprint]]</f>
        <v>DO-214AA(SMB)</v>
      </c>
      <c r="P22" s="106" t="s">
        <v>1034</v>
      </c>
    </row>
    <row r="23" spans="1:16" s="45" customFormat="1" x14ac:dyDescent="0.25">
      <c r="A23" s="152">
        <f>ROW()-1</f>
        <v>22</v>
      </c>
      <c r="B23" s="153" t="s">
        <v>1029</v>
      </c>
      <c r="C23" s="108" t="str">
        <f t="shared" si="1"/>
        <v>DIO-TVS</v>
      </c>
      <c r="D23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23" s="151" t="s">
        <v>275</v>
      </c>
      <c r="F23" s="151" t="s">
        <v>231</v>
      </c>
      <c r="G23" s="151" t="s">
        <v>276</v>
      </c>
      <c r="H23" s="151" t="s">
        <v>178</v>
      </c>
      <c r="I23" s="113" t="s">
        <v>69</v>
      </c>
      <c r="J23" s="151" t="s">
        <v>273</v>
      </c>
      <c r="K23" s="28" t="s">
        <v>224</v>
      </c>
      <c r="L23" s="28" t="s">
        <v>11</v>
      </c>
      <c r="M23" s="174" t="s">
        <v>10</v>
      </c>
      <c r="N23" s="110" t="s">
        <v>73</v>
      </c>
      <c r="O23" s="79" t="str">
        <f>TVSDiodes79[[#This Row],[Footprint]]</f>
        <v>DO-214AA(SMB)</v>
      </c>
      <c r="P23" s="106" t="s">
        <v>1034</v>
      </c>
    </row>
    <row r="24" spans="1:16" s="45" customFormat="1" x14ac:dyDescent="0.25">
      <c r="A24" s="152">
        <f>ROW()-1</f>
        <v>23</v>
      </c>
      <c r="B24" s="153" t="s">
        <v>1029</v>
      </c>
      <c r="C24" s="108" t="str">
        <f t="shared" si="1"/>
        <v>DIO-TVS</v>
      </c>
      <c r="D24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24" s="151" t="s">
        <v>275</v>
      </c>
      <c r="F24" s="151" t="s">
        <v>231</v>
      </c>
      <c r="G24" s="151" t="s">
        <v>276</v>
      </c>
      <c r="H24" s="151" t="s">
        <v>178</v>
      </c>
      <c r="I24" s="113" t="s">
        <v>69</v>
      </c>
      <c r="J24" s="151" t="s">
        <v>274</v>
      </c>
      <c r="K24" s="28" t="s">
        <v>34</v>
      </c>
      <c r="L24" s="28" t="s">
        <v>11</v>
      </c>
      <c r="M24" s="174" t="s">
        <v>10</v>
      </c>
      <c r="N24" s="110" t="s">
        <v>73</v>
      </c>
      <c r="O24" s="79" t="str">
        <f>TVSDiodes79[[#This Row],[Footprint]]</f>
        <v>DO-214AA(SMB)</v>
      </c>
      <c r="P24" s="106" t="s">
        <v>1034</v>
      </c>
    </row>
    <row r="25" spans="1:16" s="45" customFormat="1" x14ac:dyDescent="0.25">
      <c r="A25" s="152">
        <f t="shared" ref="A25:A29" si="3">ROW()-1</f>
        <v>24</v>
      </c>
      <c r="B25" s="153" t="s">
        <v>1030</v>
      </c>
      <c r="C25" s="108" t="str">
        <f t="shared" si="1"/>
        <v>DIO-TVS</v>
      </c>
      <c r="D25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Uni-Polar DO-214AA(SMB) STD</v>
      </c>
      <c r="E25" s="151" t="s">
        <v>278</v>
      </c>
      <c r="F25" s="151" t="s">
        <v>231</v>
      </c>
      <c r="G25" s="151" t="s">
        <v>279</v>
      </c>
      <c r="H25" s="151" t="s">
        <v>1032</v>
      </c>
      <c r="I25" s="113" t="s">
        <v>69</v>
      </c>
      <c r="J25" s="151" t="s">
        <v>1039</v>
      </c>
      <c r="K25" s="28" t="s">
        <v>34</v>
      </c>
      <c r="L25" s="28" t="s">
        <v>1561</v>
      </c>
      <c r="M25" s="174" t="s">
        <v>10</v>
      </c>
      <c r="N25" s="110" t="s">
        <v>1033</v>
      </c>
      <c r="O25" s="79" t="str">
        <f>TVSDiodes79[[#This Row],[Footprint]]</f>
        <v>DO-214AA(SMB)</v>
      </c>
      <c r="P25" s="106" t="s">
        <v>1035</v>
      </c>
    </row>
    <row r="26" spans="1:16" x14ac:dyDescent="0.25">
      <c r="A26" s="152">
        <f t="shared" si="3"/>
        <v>25</v>
      </c>
      <c r="B26" s="153" t="s">
        <v>1030</v>
      </c>
      <c r="C26" s="108" t="str">
        <f t="shared" si="1"/>
        <v>DIO-TVS</v>
      </c>
      <c r="D26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Uni-Polar DO-214AA(SMB) AECQ</v>
      </c>
      <c r="E26" s="151" t="s">
        <v>278</v>
      </c>
      <c r="F26" s="151" t="s">
        <v>231</v>
      </c>
      <c r="G26" s="151" t="s">
        <v>279</v>
      </c>
      <c r="H26" s="151" t="s">
        <v>1032</v>
      </c>
      <c r="I26" s="113" t="s">
        <v>69</v>
      </c>
      <c r="J26" s="151" t="s">
        <v>1040</v>
      </c>
      <c r="K26" s="28" t="s">
        <v>34</v>
      </c>
      <c r="L26" s="28" t="s">
        <v>11</v>
      </c>
      <c r="M26" s="174" t="s">
        <v>10</v>
      </c>
      <c r="N26" s="110" t="s">
        <v>1033</v>
      </c>
      <c r="O26" s="79" t="str">
        <f>TVSDiodes79[[#This Row],[Footprint]]</f>
        <v>DO-214AA(SMB)</v>
      </c>
      <c r="P26" s="106" t="s">
        <v>1035</v>
      </c>
    </row>
    <row r="27" spans="1:16" s="45" customFormat="1" x14ac:dyDescent="0.25">
      <c r="A27" s="152">
        <f t="shared" si="3"/>
        <v>26</v>
      </c>
      <c r="B27" s="153" t="s">
        <v>1030</v>
      </c>
      <c r="C27" s="108" t="str">
        <f t="shared" si="1"/>
        <v>DIO-TVS</v>
      </c>
      <c r="D27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Uni-Polar DO-214AA(SMB) AECQ</v>
      </c>
      <c r="E27" s="28" t="s">
        <v>278</v>
      </c>
      <c r="F27" s="28" t="s">
        <v>231</v>
      </c>
      <c r="G27" s="28" t="s">
        <v>279</v>
      </c>
      <c r="H27" s="28" t="s">
        <v>1032</v>
      </c>
      <c r="I27" s="113" t="s">
        <v>69</v>
      </c>
      <c r="J27" s="151" t="s">
        <v>1027</v>
      </c>
      <c r="K27" s="28" t="s">
        <v>224</v>
      </c>
      <c r="L27" s="28" t="s">
        <v>11</v>
      </c>
      <c r="M27" s="174" t="s">
        <v>10</v>
      </c>
      <c r="N27" s="110" t="s">
        <v>1033</v>
      </c>
      <c r="O27" s="79" t="str">
        <f>TVSDiodes79[[#This Row],[Footprint]]</f>
        <v>DO-214AA(SMB)</v>
      </c>
      <c r="P27" s="28"/>
    </row>
    <row r="28" spans="1:16" x14ac:dyDescent="0.25">
      <c r="A28" s="117">
        <f t="shared" si="3"/>
        <v>27</v>
      </c>
      <c r="B28" s="111" t="s">
        <v>1030</v>
      </c>
      <c r="C28" s="108" t="str">
        <f t="shared" si="1"/>
        <v>DIO-TVS</v>
      </c>
      <c r="D28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Uni-Polar DO-214AA(SMB) STD</v>
      </c>
      <c r="E28" s="28" t="s">
        <v>278</v>
      </c>
      <c r="F28" s="28" t="s">
        <v>231</v>
      </c>
      <c r="G28" s="28" t="s">
        <v>279</v>
      </c>
      <c r="H28" s="28" t="s">
        <v>1032</v>
      </c>
      <c r="I28" s="113" t="s">
        <v>69</v>
      </c>
      <c r="J28" s="151" t="s">
        <v>1039</v>
      </c>
      <c r="K28" s="28" t="s">
        <v>34</v>
      </c>
      <c r="L28" s="28" t="s">
        <v>1561</v>
      </c>
      <c r="M28" s="174" t="s">
        <v>10</v>
      </c>
      <c r="N28" s="110" t="s">
        <v>1033</v>
      </c>
      <c r="O28" s="79" t="str">
        <f>TVSDiodes79[[#This Row],[Footprint]]</f>
        <v>DO-214AA(SMB)</v>
      </c>
      <c r="P28" s="28"/>
    </row>
    <row r="29" spans="1:16" x14ac:dyDescent="0.25">
      <c r="A29" s="117">
        <f t="shared" si="3"/>
        <v>28</v>
      </c>
      <c r="B29" s="111" t="s">
        <v>1031</v>
      </c>
      <c r="C29" s="108" t="str">
        <f t="shared" si="1"/>
        <v>DIO-TVS</v>
      </c>
      <c r="D29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24V 600W 18A Uni-Polar DO-214AA(SMB) STD</v>
      </c>
      <c r="E29" s="28" t="s">
        <v>278</v>
      </c>
      <c r="F29" s="28" t="s">
        <v>231</v>
      </c>
      <c r="G29" s="28" t="s">
        <v>279</v>
      </c>
      <c r="H29" s="28" t="s">
        <v>1032</v>
      </c>
      <c r="I29" s="113" t="s">
        <v>69</v>
      </c>
      <c r="J29" s="151" t="s">
        <v>1039</v>
      </c>
      <c r="K29" s="28" t="s">
        <v>34</v>
      </c>
      <c r="L29" s="28" t="s">
        <v>1561</v>
      </c>
      <c r="M29" s="174" t="s">
        <v>10</v>
      </c>
      <c r="N29" s="110" t="s">
        <v>1033</v>
      </c>
      <c r="O29" s="79" t="str">
        <f>TVSDiodes79[[#This Row],[Footprint]]</f>
        <v>DO-214AA(SMB)</v>
      </c>
      <c r="P29" s="28"/>
    </row>
    <row r="30" spans="1:16" x14ac:dyDescent="0.25">
      <c r="A30" s="117">
        <f>ROW()-1</f>
        <v>29</v>
      </c>
      <c r="B30" s="44" t="s">
        <v>1043</v>
      </c>
      <c r="C30" s="108" t="str">
        <f t="shared" si="1"/>
        <v>DIO-TVS</v>
      </c>
      <c r="D30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42V 600W 10.3A Bi-Polar DO-214AA(SMB) AECQ</v>
      </c>
      <c r="E30" s="46" t="s">
        <v>1041</v>
      </c>
      <c r="F30" s="46" t="s">
        <v>231</v>
      </c>
      <c r="G30" s="46" t="s">
        <v>260</v>
      </c>
      <c r="H30" s="46" t="s">
        <v>178</v>
      </c>
      <c r="I30" s="35" t="s">
        <v>69</v>
      </c>
      <c r="J30" s="81" t="s">
        <v>1042</v>
      </c>
      <c r="K30" s="28" t="s">
        <v>224</v>
      </c>
      <c r="L30" s="28" t="s">
        <v>11</v>
      </c>
      <c r="M30" s="174" t="s">
        <v>10</v>
      </c>
      <c r="N30" s="110" t="s">
        <v>73</v>
      </c>
      <c r="O30" s="79" t="str">
        <f>TVSDiodes79[[#This Row],[Footprint]]</f>
        <v>DO-214AA(SMB)</v>
      </c>
      <c r="P30" s="79"/>
    </row>
    <row r="31" spans="1:16" x14ac:dyDescent="0.25">
      <c r="A31" s="158">
        <f>ROW()-1</f>
        <v>30</v>
      </c>
      <c r="B31" s="159" t="s">
        <v>1225</v>
      </c>
      <c r="C31" s="108" t="str">
        <f t="shared" si="1"/>
        <v>DIO-TVS</v>
      </c>
      <c r="D31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82V 400W 3.5A Bi-Polar DO-214AC(SMA) AECQ</v>
      </c>
      <c r="E31" s="28" t="s">
        <v>1226</v>
      </c>
      <c r="F31" s="46" t="s">
        <v>180</v>
      </c>
      <c r="G31" s="28" t="s">
        <v>139</v>
      </c>
      <c r="H31" s="46" t="s">
        <v>178</v>
      </c>
      <c r="I31" s="35" t="s">
        <v>204</v>
      </c>
      <c r="J31" s="160" t="s">
        <v>1227</v>
      </c>
      <c r="K31" s="28" t="s">
        <v>224</v>
      </c>
      <c r="L31" s="28" t="s">
        <v>11</v>
      </c>
      <c r="M31" s="174" t="s">
        <v>10</v>
      </c>
      <c r="N31" s="161"/>
      <c r="O31" s="35" t="str">
        <f>TVSDiodes79[[#This Row],[Footprint]]</f>
        <v>DO-214AC(SMA)</v>
      </c>
      <c r="P31" s="162"/>
    </row>
    <row r="32" spans="1:16" x14ac:dyDescent="0.25">
      <c r="A32" s="117">
        <f t="shared" ref="A32:A46" si="4">ROW()-1</f>
        <v>31</v>
      </c>
      <c r="B32" s="111" t="s">
        <v>1228</v>
      </c>
      <c r="C32" s="108" t="str">
        <f t="shared" si="1"/>
        <v>DIO-TVS</v>
      </c>
      <c r="D32" s="109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400W 8.8A Bi-Polar DO-214AC(SMA) AECQ</v>
      </c>
      <c r="E32" s="28" t="s">
        <v>346</v>
      </c>
      <c r="F32" s="28" t="s">
        <v>180</v>
      </c>
      <c r="G32" s="28" t="s">
        <v>1229</v>
      </c>
      <c r="H32" s="46" t="s">
        <v>178</v>
      </c>
      <c r="I32" s="35" t="s">
        <v>204</v>
      </c>
      <c r="J32" s="151" t="s">
        <v>1230</v>
      </c>
      <c r="K32" s="28" t="s">
        <v>224</v>
      </c>
      <c r="L32" s="28" t="s">
        <v>11</v>
      </c>
      <c r="M32" s="174" t="s">
        <v>10</v>
      </c>
      <c r="N32" s="110"/>
      <c r="O32" s="35" t="str">
        <f>TVSDiodes79[[#This Row],[Footprint]]</f>
        <v>DO-214AC(SMA)</v>
      </c>
      <c r="P32" s="79"/>
    </row>
    <row r="33" spans="1:16" x14ac:dyDescent="0.25">
      <c r="A33" s="117">
        <f t="shared" si="4"/>
        <v>32</v>
      </c>
      <c r="B33" s="111" t="s">
        <v>1231</v>
      </c>
      <c r="C33" s="57" t="str">
        <f t="shared" si="1"/>
        <v>DIO-TVS</v>
      </c>
      <c r="D33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26V 600W 14.3A Bi-Polar DO-214AA(SMB) AECQ</v>
      </c>
      <c r="E33" s="28" t="s">
        <v>1232</v>
      </c>
      <c r="F33" s="46" t="s">
        <v>231</v>
      </c>
      <c r="G33" s="28" t="s">
        <v>1233</v>
      </c>
      <c r="H33" s="46" t="s">
        <v>178</v>
      </c>
      <c r="I33" s="35" t="s">
        <v>69</v>
      </c>
      <c r="J33" s="151" t="s">
        <v>1234</v>
      </c>
      <c r="K33" s="28" t="s">
        <v>1018</v>
      </c>
      <c r="L33" s="28" t="s">
        <v>11</v>
      </c>
      <c r="M33" s="174" t="s">
        <v>10</v>
      </c>
      <c r="N33" s="110"/>
      <c r="O33" s="79" t="str">
        <f>TVSDiodes79[[#This Row],[Footprint]]</f>
        <v>DO-214AA(SMB)</v>
      </c>
      <c r="P33" s="79"/>
    </row>
    <row r="34" spans="1:16" x14ac:dyDescent="0.25">
      <c r="A34" s="117">
        <f t="shared" si="4"/>
        <v>33</v>
      </c>
      <c r="B34" s="111" t="s">
        <v>1231</v>
      </c>
      <c r="C34" s="57" t="str">
        <f t="shared" si="1"/>
        <v>DIO-TVS</v>
      </c>
      <c r="D34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34" s="28" t="s">
        <v>275</v>
      </c>
      <c r="F34" s="46" t="s">
        <v>231</v>
      </c>
      <c r="G34" s="28" t="s">
        <v>276</v>
      </c>
      <c r="H34" s="46" t="s">
        <v>178</v>
      </c>
      <c r="I34" s="35" t="s">
        <v>69</v>
      </c>
      <c r="J34" s="151" t="s">
        <v>1235</v>
      </c>
      <c r="K34" s="151" t="s">
        <v>34</v>
      </c>
      <c r="L34" s="28" t="s">
        <v>11</v>
      </c>
      <c r="M34" s="174" t="s">
        <v>10</v>
      </c>
      <c r="N34" s="110"/>
      <c r="O34" s="79" t="str">
        <f>TVSDiodes79[[#This Row],[Footprint]]</f>
        <v>DO-214AA(SMB)</v>
      </c>
      <c r="P34" s="79"/>
    </row>
    <row r="35" spans="1:16" x14ac:dyDescent="0.25">
      <c r="A35" s="117">
        <f t="shared" si="4"/>
        <v>34</v>
      </c>
      <c r="B35" s="111" t="s">
        <v>1231</v>
      </c>
      <c r="C35" s="57" t="str">
        <f t="shared" si="1"/>
        <v>DIO-TVS</v>
      </c>
      <c r="D35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14.7A Bi-Polar DO-214AA(SMB) AECQ</v>
      </c>
      <c r="E35" s="28" t="s">
        <v>275</v>
      </c>
      <c r="F35" s="46" t="s">
        <v>231</v>
      </c>
      <c r="G35" s="28" t="s">
        <v>1236</v>
      </c>
      <c r="H35" s="46" t="s">
        <v>178</v>
      </c>
      <c r="I35" s="113" t="s">
        <v>69</v>
      </c>
      <c r="J35" s="151" t="s">
        <v>1237</v>
      </c>
      <c r="K35" s="114" t="s">
        <v>225</v>
      </c>
      <c r="L35" s="28" t="s">
        <v>11</v>
      </c>
      <c r="M35" s="174" t="s">
        <v>10</v>
      </c>
      <c r="N35" s="110"/>
      <c r="O35" s="79" t="str">
        <f>TVSDiodes79[[#This Row],[Footprint]]</f>
        <v>DO-214AA(SMB)</v>
      </c>
      <c r="P35" s="79"/>
    </row>
    <row r="36" spans="1:16" x14ac:dyDescent="0.25">
      <c r="A36" s="117">
        <f t="shared" si="4"/>
        <v>35</v>
      </c>
      <c r="B36" s="111" t="s">
        <v>1231</v>
      </c>
      <c r="C36" s="57" t="str">
        <f t="shared" si="1"/>
        <v>DIO-TVS</v>
      </c>
      <c r="D36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26V 600W 14.3A Bi-Polar DO-214AA(SMB) STD</v>
      </c>
      <c r="E36" s="28" t="s">
        <v>1232</v>
      </c>
      <c r="F36" s="46" t="s">
        <v>231</v>
      </c>
      <c r="G36" s="28" t="s">
        <v>1233</v>
      </c>
      <c r="H36" s="46" t="s">
        <v>178</v>
      </c>
      <c r="I36" s="35" t="s">
        <v>69</v>
      </c>
      <c r="J36" s="151" t="s">
        <v>1238</v>
      </c>
      <c r="K36" s="28" t="s">
        <v>1018</v>
      </c>
      <c r="L36" s="28" t="s">
        <v>1561</v>
      </c>
      <c r="M36" s="174" t="s">
        <v>10</v>
      </c>
      <c r="N36" s="110"/>
      <c r="O36" s="79" t="str">
        <f>TVSDiodes79[[#This Row],[Footprint]]</f>
        <v>DO-214AA(SMB)</v>
      </c>
      <c r="P36" s="79"/>
    </row>
    <row r="37" spans="1:16" x14ac:dyDescent="0.25">
      <c r="A37" s="117">
        <f t="shared" si="4"/>
        <v>36</v>
      </c>
      <c r="B37" s="111" t="s">
        <v>1231</v>
      </c>
      <c r="C37" s="57" t="str">
        <f t="shared" si="1"/>
        <v>DIO-TVS</v>
      </c>
      <c r="D37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26V 600W 14.2A Bi-Polar DO-214AA(SMB) AECQ</v>
      </c>
      <c r="E37" s="28" t="s">
        <v>1232</v>
      </c>
      <c r="F37" s="46" t="s">
        <v>231</v>
      </c>
      <c r="G37" s="28" t="s">
        <v>1239</v>
      </c>
      <c r="H37" s="46" t="s">
        <v>178</v>
      </c>
      <c r="I37" s="35" t="s">
        <v>69</v>
      </c>
      <c r="J37" s="151" t="s">
        <v>1240</v>
      </c>
      <c r="K37" s="28" t="s">
        <v>1195</v>
      </c>
      <c r="L37" s="28" t="s">
        <v>11</v>
      </c>
      <c r="M37" s="174" t="s">
        <v>10</v>
      </c>
      <c r="N37" s="110"/>
      <c r="O37" s="79" t="str">
        <f>TVSDiodes79[[#This Row],[Footprint]]</f>
        <v>DO-214AA(SMB)</v>
      </c>
      <c r="P37" s="79"/>
    </row>
    <row r="38" spans="1:16" x14ac:dyDescent="0.25">
      <c r="A38" s="117">
        <f t="shared" si="4"/>
        <v>37</v>
      </c>
      <c r="B38" s="111" t="s">
        <v>1231</v>
      </c>
      <c r="C38" s="57" t="str">
        <f t="shared" si="1"/>
        <v>DIO-TVS</v>
      </c>
      <c r="D38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38" s="28" t="s">
        <v>275</v>
      </c>
      <c r="F38" s="46" t="s">
        <v>231</v>
      </c>
      <c r="G38" s="28" t="s">
        <v>276</v>
      </c>
      <c r="H38" s="46" t="s">
        <v>178</v>
      </c>
      <c r="I38" s="35" t="s">
        <v>69</v>
      </c>
      <c r="J38" s="151" t="s">
        <v>1241</v>
      </c>
      <c r="K38" s="151" t="s">
        <v>34</v>
      </c>
      <c r="L38" s="28" t="s">
        <v>11</v>
      </c>
      <c r="M38" s="174" t="s">
        <v>10</v>
      </c>
      <c r="N38" s="110"/>
      <c r="O38" s="79" t="str">
        <f>TVSDiodes79[[#This Row],[Footprint]]</f>
        <v>DO-214AA(SMB)</v>
      </c>
      <c r="P38" s="79"/>
    </row>
    <row r="39" spans="1:16" x14ac:dyDescent="0.25">
      <c r="A39" s="117">
        <f t="shared" si="4"/>
        <v>38</v>
      </c>
      <c r="B39" s="111" t="s">
        <v>1231</v>
      </c>
      <c r="C39" s="57" t="str">
        <f t="shared" si="1"/>
        <v>DIO-TVS</v>
      </c>
      <c r="D39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30V 600W 14.5A Bi-Polar DO-214AA(SMB) AECQ</v>
      </c>
      <c r="E39" s="28" t="s">
        <v>275</v>
      </c>
      <c r="F39" s="46" t="s">
        <v>231</v>
      </c>
      <c r="G39" s="28" t="s">
        <v>276</v>
      </c>
      <c r="H39" s="46" t="s">
        <v>178</v>
      </c>
      <c r="I39" s="35" t="s">
        <v>69</v>
      </c>
      <c r="J39" s="151" t="s">
        <v>1242</v>
      </c>
      <c r="K39" s="151" t="s">
        <v>34</v>
      </c>
      <c r="L39" s="28" t="s">
        <v>11</v>
      </c>
      <c r="M39" s="174" t="s">
        <v>10</v>
      </c>
      <c r="N39" s="110"/>
      <c r="O39" s="79" t="str">
        <f>TVSDiodes79[[#This Row],[Footprint]]</f>
        <v>DO-214AA(SMB)</v>
      </c>
      <c r="P39" s="79"/>
    </row>
    <row r="40" spans="1:16" x14ac:dyDescent="0.25">
      <c r="A40" s="117">
        <f t="shared" si="4"/>
        <v>39</v>
      </c>
      <c r="B40" s="111" t="s">
        <v>1243</v>
      </c>
      <c r="C40" s="57" t="str">
        <f t="shared" si="1"/>
        <v>DIO-TVS</v>
      </c>
      <c r="D40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1500W 29A Bi-Polar DO-214AB(SMC) STD</v>
      </c>
      <c r="E40" s="28" t="s">
        <v>346</v>
      </c>
      <c r="F40" s="28" t="s">
        <v>1244</v>
      </c>
      <c r="G40" s="28" t="s">
        <v>1245</v>
      </c>
      <c r="H40" s="46" t="s">
        <v>178</v>
      </c>
      <c r="I40" s="104" t="s">
        <v>203</v>
      </c>
      <c r="J40" s="151" t="s">
        <v>1246</v>
      </c>
      <c r="K40" s="28" t="s">
        <v>224</v>
      </c>
      <c r="L40" s="28" t="s">
        <v>1561</v>
      </c>
      <c r="M40" s="174" t="s">
        <v>10</v>
      </c>
      <c r="N40" s="110"/>
      <c r="O40" s="79" t="str">
        <f>TVSDiodes79[[#This Row],[Footprint]]</f>
        <v>DO-214AB(SMC)</v>
      </c>
      <c r="P40" s="79"/>
    </row>
    <row r="41" spans="1:16" x14ac:dyDescent="0.25">
      <c r="A41" s="117">
        <f t="shared" si="4"/>
        <v>40</v>
      </c>
      <c r="B41" s="111" t="s">
        <v>1243</v>
      </c>
      <c r="C41" s="57" t="str">
        <f t="shared" si="1"/>
        <v>DIO-TVS</v>
      </c>
      <c r="D41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1500W 28.1A Bi-Polar DO-214AB(SMC) STD</v>
      </c>
      <c r="E41" s="28" t="s">
        <v>346</v>
      </c>
      <c r="F41" s="28" t="s">
        <v>1244</v>
      </c>
      <c r="G41" s="28" t="s">
        <v>1247</v>
      </c>
      <c r="H41" s="46" t="s">
        <v>178</v>
      </c>
      <c r="I41" s="104" t="s">
        <v>203</v>
      </c>
      <c r="J41" s="151" t="s">
        <v>1248</v>
      </c>
      <c r="K41" s="151" t="s">
        <v>34</v>
      </c>
      <c r="L41" s="28" t="s">
        <v>1561</v>
      </c>
      <c r="M41" s="174" t="s">
        <v>10</v>
      </c>
      <c r="N41" s="110"/>
      <c r="O41" s="79" t="str">
        <f>TVSDiodes79[[#This Row],[Footprint]]</f>
        <v>DO-214AB(SMC)</v>
      </c>
      <c r="P41" s="79"/>
    </row>
    <row r="42" spans="1:16" x14ac:dyDescent="0.25">
      <c r="A42" s="117">
        <f t="shared" si="4"/>
        <v>41</v>
      </c>
      <c r="B42" s="111" t="s">
        <v>1243</v>
      </c>
      <c r="C42" s="57" t="str">
        <f t="shared" si="1"/>
        <v>DIO-TVS</v>
      </c>
      <c r="D42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1500W 33A Bi-Polar DO-214AB(SMC) AECQ</v>
      </c>
      <c r="E42" s="28" t="s">
        <v>346</v>
      </c>
      <c r="F42" s="28" t="s">
        <v>1244</v>
      </c>
      <c r="G42" s="28" t="s">
        <v>1249</v>
      </c>
      <c r="H42" s="46" t="s">
        <v>178</v>
      </c>
      <c r="I42" s="104" t="s">
        <v>203</v>
      </c>
      <c r="J42" s="151" t="s">
        <v>1250</v>
      </c>
      <c r="K42" s="28" t="s">
        <v>224</v>
      </c>
      <c r="L42" s="28" t="s">
        <v>11</v>
      </c>
      <c r="M42" s="174" t="s">
        <v>10</v>
      </c>
      <c r="N42" s="110"/>
      <c r="O42" s="79" t="str">
        <f>TVSDiodes79[[#This Row],[Footprint]]</f>
        <v>DO-214AB(SMC)</v>
      </c>
      <c r="P42" s="79"/>
    </row>
    <row r="43" spans="1:16" x14ac:dyDescent="0.25">
      <c r="A43" s="117">
        <f t="shared" si="4"/>
        <v>42</v>
      </c>
      <c r="B43" s="111" t="s">
        <v>1243</v>
      </c>
      <c r="C43" s="57" t="str">
        <f t="shared" si="1"/>
        <v>DIO-TVS</v>
      </c>
      <c r="D43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1500W 28.1A Bi-Polar DO-214AB(SMC) AECQ</v>
      </c>
      <c r="E43" s="28" t="s">
        <v>346</v>
      </c>
      <c r="F43" s="28" t="s">
        <v>1244</v>
      </c>
      <c r="G43" s="28" t="s">
        <v>1247</v>
      </c>
      <c r="H43" s="46" t="s">
        <v>178</v>
      </c>
      <c r="I43" s="104" t="s">
        <v>203</v>
      </c>
      <c r="J43" s="151" t="s">
        <v>1251</v>
      </c>
      <c r="K43" s="151" t="s">
        <v>34</v>
      </c>
      <c r="L43" s="28" t="s">
        <v>11</v>
      </c>
      <c r="M43" s="174" t="s">
        <v>10</v>
      </c>
      <c r="N43" s="110"/>
      <c r="O43" s="79" t="str">
        <f>TVSDiodes79[[#This Row],[Footprint]]</f>
        <v>DO-214AB(SMC)</v>
      </c>
      <c r="P43" s="79"/>
    </row>
    <row r="44" spans="1:16" x14ac:dyDescent="0.25">
      <c r="A44" s="117">
        <f t="shared" si="4"/>
        <v>43</v>
      </c>
      <c r="B44" s="111" t="s">
        <v>1252</v>
      </c>
      <c r="C44" s="57" t="str">
        <f t="shared" si="1"/>
        <v>DIO-TVS</v>
      </c>
      <c r="D44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33V 400W 7.5A Bi-Polar DO-214AC(SMA) AECQ</v>
      </c>
      <c r="E44" s="28" t="s">
        <v>346</v>
      </c>
      <c r="F44" s="108" t="s">
        <v>180</v>
      </c>
      <c r="G44" s="28" t="s">
        <v>1253</v>
      </c>
      <c r="H44" s="46" t="s">
        <v>178</v>
      </c>
      <c r="I44" s="35" t="s">
        <v>204</v>
      </c>
      <c r="J44" s="151" t="s">
        <v>1254</v>
      </c>
      <c r="K44" s="28" t="s">
        <v>68</v>
      </c>
      <c r="L44" s="28" t="s">
        <v>11</v>
      </c>
      <c r="M44" s="174" t="s">
        <v>10</v>
      </c>
      <c r="N44" s="110"/>
      <c r="O44" s="79" t="str">
        <f>TVSDiodes79[[#This Row],[Footprint]]</f>
        <v>DO-214AC(SMA)</v>
      </c>
      <c r="P44" s="79"/>
    </row>
    <row r="45" spans="1:16" x14ac:dyDescent="0.25">
      <c r="A45" s="117">
        <f t="shared" si="4"/>
        <v>44</v>
      </c>
      <c r="B45" s="111" t="s">
        <v>1255</v>
      </c>
      <c r="C45" s="57" t="str">
        <f t="shared" si="1"/>
        <v>DIO-TVS</v>
      </c>
      <c r="D45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70V 400W 3.5A Bi-Polar DO-214AC(SMA) AECQ</v>
      </c>
      <c r="E45" s="28" t="s">
        <v>1058</v>
      </c>
      <c r="F45" s="108" t="s">
        <v>180</v>
      </c>
      <c r="G45" s="28" t="s">
        <v>139</v>
      </c>
      <c r="H45" s="46" t="s">
        <v>178</v>
      </c>
      <c r="I45" s="35" t="s">
        <v>204</v>
      </c>
      <c r="J45" s="151" t="s">
        <v>1256</v>
      </c>
      <c r="K45" s="28" t="s">
        <v>242</v>
      </c>
      <c r="L45" s="28" t="s">
        <v>11</v>
      </c>
      <c r="M45" s="174" t="s">
        <v>10</v>
      </c>
      <c r="N45" s="110"/>
      <c r="O45" s="79" t="str">
        <f>TVSDiodes79[[#This Row],[Footprint]]</f>
        <v>DO-214AC(SMA)</v>
      </c>
      <c r="P45" s="79"/>
    </row>
    <row r="46" spans="1:16" x14ac:dyDescent="0.25">
      <c r="A46" s="117">
        <f t="shared" si="4"/>
        <v>45</v>
      </c>
      <c r="B46" s="111" t="s">
        <v>1255</v>
      </c>
      <c r="C46" s="57" t="str">
        <f t="shared" si="1"/>
        <v>DIO-TVS</v>
      </c>
      <c r="D46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70V 400W 3.5A Bi-Polar DO-214AC(SMA) STD</v>
      </c>
      <c r="E46" s="28" t="s">
        <v>1058</v>
      </c>
      <c r="F46" s="108" t="s">
        <v>180</v>
      </c>
      <c r="G46" s="28" t="s">
        <v>139</v>
      </c>
      <c r="H46" s="46" t="s">
        <v>178</v>
      </c>
      <c r="I46" s="35" t="s">
        <v>204</v>
      </c>
      <c r="J46" s="151" t="s">
        <v>1257</v>
      </c>
      <c r="K46" s="28" t="s">
        <v>29</v>
      </c>
      <c r="L46" s="28" t="s">
        <v>1561</v>
      </c>
      <c r="M46" s="174" t="s">
        <v>10</v>
      </c>
      <c r="N46" s="110"/>
      <c r="O46" s="79" t="str">
        <f>TVSDiodes79[[#This Row],[Footprint]]</f>
        <v>DO-214AC(SMA)</v>
      </c>
      <c r="P46" s="79"/>
    </row>
    <row r="47" spans="1:16" x14ac:dyDescent="0.25">
      <c r="A47" s="117">
        <f>ROW()-1</f>
        <v>46</v>
      </c>
      <c r="B47" s="111" t="s">
        <v>1652</v>
      </c>
      <c r="C47" s="57" t="str">
        <f>"DIO-TVS"</f>
        <v>DIO-TVS</v>
      </c>
      <c r="D47" s="118" t="str">
        <f>CONCATENATE(TVSDiodes79[[#This Row],[Category]]," ",TVSDiodes79[[#This Row],[Reverse Standoff Voltage(V)]]," ",TVSDiodes79[[#This Row],[Peak Pulse Power(W)]]," ",TVSDiodes79[[#This Row],[Max Peak Pulse Current(A)]]," ",TVSDiodes79[[#This Row],[Polarization]]," ",TVSDiodes79[[#This Row],[Footprint]]," ",TVSDiodes79[[#This Row],[Rating]])</f>
        <v>DIO-TVS 54V 400W 4.6A Uni-Polar SOD-123FL AECQ</v>
      </c>
      <c r="E47" s="28" t="s">
        <v>181</v>
      </c>
      <c r="F47" s="108" t="s">
        <v>180</v>
      </c>
      <c r="G47" s="28" t="s">
        <v>182</v>
      </c>
      <c r="H47" s="28" t="s">
        <v>1032</v>
      </c>
      <c r="I47" s="110" t="s">
        <v>213</v>
      </c>
      <c r="J47" s="151" t="s">
        <v>1651</v>
      </c>
      <c r="K47" s="28" t="s">
        <v>1195</v>
      </c>
      <c r="L47" s="28" t="s">
        <v>11</v>
      </c>
      <c r="M47" s="28" t="s">
        <v>10</v>
      </c>
      <c r="N47" s="110"/>
      <c r="O47" s="238" t="str">
        <f>TVSDiodes79[[#This Row],[Footprint]]</f>
        <v>SOD-123FL</v>
      </c>
      <c r="P47" s="79"/>
    </row>
  </sheetData>
  <dataValidations disablePrompts="1" count="5">
    <dataValidation type="list" allowBlank="1" showInputMessage="1" showErrorMessage="1" sqref="K2:K47">
      <formula1>Manufacturers_Diodes</formula1>
    </dataValidation>
    <dataValidation type="list" allowBlank="1" showInputMessage="1" showErrorMessage="1" sqref="N2:N47">
      <formula1>Symbols_Diodes</formula1>
    </dataValidation>
    <dataValidation type="list" allowBlank="1" showInputMessage="1" showErrorMessage="1" sqref="L2:L47">
      <formula1>Rating_List</formula1>
    </dataValidation>
    <dataValidation type="list" allowBlank="1" showInputMessage="1" showErrorMessage="1" sqref="M2:M46">
      <formula1>Process_List</formula1>
    </dataValidation>
    <dataValidation type="list" allowBlank="1" showInputMessage="1" showErrorMessage="1" sqref="I2:I47">
      <formula1>Footprints_Diodes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'Rating&amp;Process List'!$C$3:$C$4</xm:f>
          </x14:formula1>
          <xm:sqref>M47:M1048576</xm:sqref>
        </x14:dataValidation>
        <x14:dataValidation type="list" allowBlank="1" showInputMessage="1" showErrorMessage="1">
          <x14:formula1>
            <xm:f>'Rating&amp;Process List'!#REF!</xm:f>
          </x14:formula1>
          <xm:sqref>O47:O1048576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1"/>
  <sheetViews>
    <sheetView zoomScaleNormal="100" workbookViewId="0">
      <selection activeCell="J22" sqref="J22"/>
    </sheetView>
  </sheetViews>
  <sheetFormatPr defaultRowHeight="15" x14ac:dyDescent="0.25"/>
  <cols>
    <col min="1" max="1" width="5.140625" bestFit="1" customWidth="1"/>
    <col min="2" max="2" width="11" style="173" bestFit="1" customWidth="1"/>
    <col min="3" max="3" width="11.140625" bestFit="1" customWidth="1"/>
    <col min="4" max="4" width="36.85546875" bestFit="1" customWidth="1"/>
    <col min="5" max="5" width="24.5703125" bestFit="1" customWidth="1"/>
    <col min="6" max="6" width="25.28515625" bestFit="1" customWidth="1"/>
    <col min="7" max="7" width="9.85546875" bestFit="1" customWidth="1"/>
    <col min="8" max="8" width="19.7109375" style="173" bestFit="1" customWidth="1"/>
    <col min="9" max="9" width="11.5703125" style="173" bestFit="1" customWidth="1"/>
    <col min="10" max="10" width="18.28515625" bestFit="1" customWidth="1"/>
    <col min="11" max="11" width="15.5703125" bestFit="1" customWidth="1"/>
    <col min="12" max="12" width="8.85546875" bestFit="1" customWidth="1"/>
    <col min="13" max="13" width="11.140625" bestFit="1" customWidth="1"/>
    <col min="14" max="14" width="12.7109375" bestFit="1" customWidth="1"/>
    <col min="15" max="15" width="15" bestFit="1" customWidth="1"/>
  </cols>
  <sheetData>
    <row r="1" spans="1:15" x14ac:dyDescent="0.25">
      <c r="A1" s="173" t="s">
        <v>0</v>
      </c>
      <c r="B1" s="7" t="s">
        <v>67</v>
      </c>
      <c r="C1" t="s">
        <v>7</v>
      </c>
      <c r="D1" t="s">
        <v>8</v>
      </c>
      <c r="E1" s="177" t="s">
        <v>1542</v>
      </c>
      <c r="F1" s="7" t="s">
        <v>1541</v>
      </c>
      <c r="G1" s="7" t="s">
        <v>1543</v>
      </c>
      <c r="H1" s="7" t="s">
        <v>1544</v>
      </c>
      <c r="I1" s="7" t="s">
        <v>18</v>
      </c>
      <c r="J1" s="7" t="s">
        <v>2</v>
      </c>
      <c r="K1" s="7" t="s">
        <v>1</v>
      </c>
      <c r="L1" s="7" t="s">
        <v>6</v>
      </c>
      <c r="M1" s="7" t="s">
        <v>5</v>
      </c>
      <c r="N1" s="7" t="s">
        <v>3</v>
      </c>
      <c r="O1" t="s">
        <v>4</v>
      </c>
    </row>
    <row r="2" spans="1:15" x14ac:dyDescent="0.25">
      <c r="A2" s="28">
        <f t="shared" ref="A2:A11" si="0">ROW()-1</f>
        <v>1</v>
      </c>
      <c r="B2" s="28"/>
      <c r="C2" t="str">
        <f t="shared" ref="C2:C11" si="1">"NTC"</f>
        <v>NTC</v>
      </c>
      <c r="D2" s="3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>NTC 10KOhm 5% 3940K 0805 AECQ</v>
      </c>
      <c r="E2" s="25" t="s">
        <v>411</v>
      </c>
      <c r="F2" s="10" t="s">
        <v>410</v>
      </c>
      <c r="G2" s="25" t="s">
        <v>1545</v>
      </c>
      <c r="H2" s="10" t="s">
        <v>13</v>
      </c>
      <c r="I2" s="20" t="s">
        <v>1578</v>
      </c>
      <c r="J2" s="174" t="s">
        <v>409</v>
      </c>
      <c r="K2" s="51" t="s">
        <v>34</v>
      </c>
      <c r="L2" s="174" t="s">
        <v>11</v>
      </c>
      <c r="M2" s="174" t="s">
        <v>10</v>
      </c>
      <c r="O2" t="str">
        <f>NTCs[[#This Row],[Footprint]]</f>
        <v>NTC-0805</v>
      </c>
    </row>
    <row r="3" spans="1:15" x14ac:dyDescent="0.25">
      <c r="A3" s="28">
        <f t="shared" si="0"/>
        <v>2</v>
      </c>
      <c r="B3" s="28"/>
      <c r="C3" t="str">
        <f t="shared" si="1"/>
        <v>NTC</v>
      </c>
      <c r="D3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3" s="25"/>
      <c r="F3" s="174"/>
      <c r="G3" s="25"/>
      <c r="H3" s="25"/>
      <c r="I3" s="48"/>
      <c r="J3" s="174"/>
      <c r="K3" s="51"/>
      <c r="L3" s="174"/>
      <c r="M3" s="174"/>
      <c r="O3" s="173">
        <f>NTCs[[#This Row],[Footprint]]</f>
        <v>0</v>
      </c>
    </row>
    <row r="4" spans="1:15" x14ac:dyDescent="0.25">
      <c r="A4" s="28">
        <f t="shared" si="0"/>
        <v>3</v>
      </c>
      <c r="B4" s="28"/>
      <c r="C4" t="str">
        <f t="shared" si="1"/>
        <v>NTC</v>
      </c>
      <c r="D4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4" s="25"/>
      <c r="F4" s="174"/>
      <c r="G4" s="25"/>
      <c r="H4" s="25"/>
      <c r="I4" s="48"/>
      <c r="J4" s="174"/>
      <c r="K4" s="51"/>
      <c r="L4" s="174"/>
      <c r="M4" s="174"/>
      <c r="O4" s="173">
        <f>NTCs[[#This Row],[Footprint]]</f>
        <v>0</v>
      </c>
    </row>
    <row r="5" spans="1:15" x14ac:dyDescent="0.25">
      <c r="A5" s="57">
        <f>ROW()-1</f>
        <v>4</v>
      </c>
      <c r="B5" s="57"/>
      <c r="C5" t="str">
        <f t="shared" si="1"/>
        <v>NTC</v>
      </c>
      <c r="D5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5" s="25"/>
      <c r="F5" s="174"/>
      <c r="G5" s="25"/>
      <c r="H5" s="25"/>
      <c r="I5" s="48"/>
      <c r="J5" s="174"/>
      <c r="K5" s="51"/>
      <c r="L5" s="174"/>
      <c r="M5" s="174"/>
      <c r="O5" s="173">
        <f>NTCs[[#This Row],[Footprint]]</f>
        <v>0</v>
      </c>
    </row>
    <row r="6" spans="1:15" x14ac:dyDescent="0.25">
      <c r="A6" s="28">
        <f t="shared" si="0"/>
        <v>5</v>
      </c>
      <c r="B6" s="28"/>
      <c r="C6" t="str">
        <f t="shared" si="1"/>
        <v>NTC</v>
      </c>
      <c r="D6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6" s="174"/>
      <c r="F6" s="174"/>
      <c r="G6" s="174"/>
      <c r="H6" s="174"/>
      <c r="I6" s="48"/>
      <c r="J6" s="174"/>
      <c r="K6" s="174"/>
      <c r="L6" s="174"/>
      <c r="M6" s="174"/>
      <c r="O6" s="173">
        <f>NTCs[[#This Row],[Footprint]]</f>
        <v>0</v>
      </c>
    </row>
    <row r="7" spans="1:15" x14ac:dyDescent="0.25">
      <c r="A7" s="116">
        <f t="shared" si="0"/>
        <v>6</v>
      </c>
      <c r="B7" s="116"/>
      <c r="C7" t="str">
        <f t="shared" si="1"/>
        <v>NTC</v>
      </c>
      <c r="D7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7" s="174"/>
      <c r="F7" s="174"/>
      <c r="G7" s="174"/>
      <c r="H7" s="174"/>
      <c r="I7" s="48"/>
      <c r="J7" s="174"/>
      <c r="K7" s="174"/>
      <c r="L7" s="174"/>
      <c r="M7" s="174"/>
      <c r="O7" s="173">
        <f>NTCs[[#This Row],[Footprint]]</f>
        <v>0</v>
      </c>
    </row>
    <row r="8" spans="1:15" x14ac:dyDescent="0.25">
      <c r="A8" s="116">
        <f t="shared" si="0"/>
        <v>7</v>
      </c>
      <c r="B8" s="116"/>
      <c r="C8" t="str">
        <f t="shared" si="1"/>
        <v>NTC</v>
      </c>
      <c r="D8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8" s="174"/>
      <c r="F8" s="174"/>
      <c r="G8" s="174"/>
      <c r="H8" s="174"/>
      <c r="I8" s="48"/>
      <c r="J8" s="174"/>
      <c r="K8" s="174"/>
      <c r="L8" s="174"/>
      <c r="M8" s="174"/>
      <c r="O8" s="173">
        <f>NTCs[[#This Row],[Footprint]]</f>
        <v>0</v>
      </c>
    </row>
    <row r="9" spans="1:15" x14ac:dyDescent="0.25">
      <c r="A9" s="116">
        <f t="shared" si="0"/>
        <v>8</v>
      </c>
      <c r="B9" s="116"/>
      <c r="C9" t="str">
        <f t="shared" si="1"/>
        <v>NTC</v>
      </c>
      <c r="D9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9" s="174"/>
      <c r="F9" s="174"/>
      <c r="G9" s="174"/>
      <c r="H9" s="174"/>
      <c r="I9" s="48"/>
      <c r="J9" s="174"/>
      <c r="K9" s="174"/>
      <c r="L9" s="174"/>
      <c r="M9" s="174"/>
      <c r="O9" s="173">
        <f>NTCs[[#This Row],[Footprint]]</f>
        <v>0</v>
      </c>
    </row>
    <row r="10" spans="1:15" x14ac:dyDescent="0.25">
      <c r="A10" s="116">
        <f t="shared" si="0"/>
        <v>9</v>
      </c>
      <c r="B10" s="116"/>
      <c r="C10" t="str">
        <f t="shared" si="1"/>
        <v>NTC</v>
      </c>
      <c r="D10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10" s="174"/>
      <c r="F10" s="174"/>
      <c r="G10" s="174"/>
      <c r="H10" s="174"/>
      <c r="I10" s="48"/>
      <c r="J10" s="174"/>
      <c r="K10" s="174"/>
      <c r="L10" s="174"/>
      <c r="M10" s="174"/>
      <c r="O10" s="173">
        <f>NTCs[[#This Row],[Footprint]]</f>
        <v>0</v>
      </c>
    </row>
    <row r="11" spans="1:15" x14ac:dyDescent="0.25">
      <c r="A11" s="116">
        <f t="shared" si="0"/>
        <v>10</v>
      </c>
      <c r="B11" s="116"/>
      <c r="C11" t="str">
        <f t="shared" si="1"/>
        <v>NTC</v>
      </c>
      <c r="D11" s="175" t="str">
        <f>CONCATENATE(NTCs[[#This Row],[Category]]," ",NTCs[[#This Row],[Resistance@25°C(Ohm)]]," ",NTCs[[#This Row],[Resistance Tolerance(%)]]," ",NTCs[[#This Row],[Beta(K)]]," ",SUBSTITUTE(NTCs[[#This Row],[Footprint]], "NTC-", "")," ",NTCs[[#This Row],[Rating]])</f>
        <v xml:space="preserve">NTC     </v>
      </c>
      <c r="E11" s="174"/>
      <c r="F11" s="174"/>
      <c r="G11" s="174"/>
      <c r="H11" s="174"/>
      <c r="I11" s="48"/>
      <c r="J11" s="174"/>
      <c r="K11" s="174"/>
      <c r="L11" s="174"/>
      <c r="M11" s="174"/>
      <c r="O11" s="173">
        <f>NTCs[[#This Row],[Footprint]]</f>
        <v>0</v>
      </c>
    </row>
  </sheetData>
  <dataValidations count="5">
    <dataValidation type="list" allowBlank="1" showInputMessage="1" showErrorMessage="1" sqref="N2:N11">
      <formula1>Symbols_NTCs</formula1>
    </dataValidation>
    <dataValidation type="list" allowBlank="1" showInputMessage="1" showErrorMessage="1" sqref="I2:I11">
      <formula1>Footprints_NTCs</formula1>
    </dataValidation>
    <dataValidation type="list" allowBlank="1" showInputMessage="1" showErrorMessage="1" sqref="K2:K11">
      <formula1>Manufacturers_NTCs</formula1>
    </dataValidation>
    <dataValidation type="list" allowBlank="1" showInputMessage="1" showErrorMessage="1" sqref="M2:M11">
      <formula1>Process_List</formula1>
    </dataValidation>
    <dataValidation type="list" allowBlank="1" showInputMessage="1" showErrorMessage="1" sqref="L2:L11">
      <formula1>Rating_List</formula1>
    </dataValidation>
  </dataValidations>
  <pageMargins left="0.7" right="0.7" top="0.75" bottom="0.75" header="0.3" footer="0.3"/>
  <ignoredErrors>
    <ignoredError sqref="F2 H2:H11" numberStoredAsText="1"/>
  </ignoredErrors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1"/>
  <sheetViews>
    <sheetView zoomScale="115" zoomScaleNormal="115" workbookViewId="0">
      <selection activeCell="M2" sqref="M2:M11"/>
    </sheetView>
  </sheetViews>
  <sheetFormatPr defaultRowHeight="15" x14ac:dyDescent="0.25"/>
  <cols>
    <col min="1" max="1" width="5.140625" bestFit="1" customWidth="1"/>
    <col min="2" max="2" width="11" style="173" bestFit="1" customWidth="1"/>
    <col min="3" max="3" width="11.140625" bestFit="1" customWidth="1"/>
    <col min="4" max="4" width="13.42578125" bestFit="1" customWidth="1"/>
    <col min="5" max="5" width="24.5703125" bestFit="1" customWidth="1"/>
    <col min="6" max="6" width="28.140625" bestFit="1" customWidth="1"/>
    <col min="7" max="7" width="11.5703125" style="173" bestFit="1" customWidth="1"/>
    <col min="8" max="8" width="14.5703125" bestFit="1" customWidth="1"/>
    <col min="9" max="10" width="15.5703125" bestFit="1" customWidth="1"/>
    <col min="11" max="11" width="11.140625" bestFit="1" customWidth="1"/>
    <col min="12" max="12" width="12.7109375" bestFit="1" customWidth="1"/>
    <col min="13" max="13" width="15" bestFit="1" customWidth="1"/>
  </cols>
  <sheetData>
    <row r="1" spans="1:13" x14ac:dyDescent="0.25">
      <c r="A1" t="s">
        <v>0</v>
      </c>
      <c r="B1" s="7" t="s">
        <v>67</v>
      </c>
      <c r="C1" t="s">
        <v>7</v>
      </c>
      <c r="D1" t="s">
        <v>8</v>
      </c>
      <c r="E1" s="177" t="s">
        <v>1542</v>
      </c>
      <c r="F1" s="177" t="s">
        <v>1579</v>
      </c>
      <c r="G1" s="7" t="s">
        <v>18</v>
      </c>
      <c r="H1" s="7" t="s">
        <v>2</v>
      </c>
      <c r="I1" s="7" t="s">
        <v>1</v>
      </c>
      <c r="J1" s="7" t="s">
        <v>6</v>
      </c>
      <c r="K1" s="7" t="s">
        <v>5</v>
      </c>
      <c r="L1" s="7" t="s">
        <v>3</v>
      </c>
      <c r="M1" t="s">
        <v>4</v>
      </c>
    </row>
    <row r="2" spans="1:13" x14ac:dyDescent="0.25">
      <c r="A2" s="174">
        <f t="shared" ref="A2:A11" si="0">ROW()-1</f>
        <v>1</v>
      </c>
      <c r="B2" s="174"/>
      <c r="C2" s="174" t="str">
        <f t="shared" ref="C2:C11" si="1">"PTC"</f>
        <v>PTC</v>
      </c>
      <c r="D2" s="8" t="str">
        <f>CONCATENATE(PTCs[[#This Row],[Category]]," ",PTCs[[#This Row],[Resistance@25°C(Ohm)]]," ",PTCs[[#This Row],[Percentage R. Tolerance(%)]]," ",PTCs[[#This Row],[Footprint]]," ",PTCs[[#This Row],[Rating]])</f>
        <v>PTC    AECQ</v>
      </c>
      <c r="E2" s="25"/>
      <c r="F2" s="25"/>
      <c r="G2" s="174"/>
      <c r="H2" s="174"/>
      <c r="I2" s="51"/>
      <c r="J2" s="174" t="s">
        <v>11</v>
      </c>
      <c r="K2" s="174" t="s">
        <v>10</v>
      </c>
      <c r="L2" s="174"/>
      <c r="M2" s="174">
        <f>PTCs[[#This Row],[Footprint]]</f>
        <v>0</v>
      </c>
    </row>
    <row r="3" spans="1:13" x14ac:dyDescent="0.25">
      <c r="A3" s="174">
        <f t="shared" si="0"/>
        <v>2</v>
      </c>
      <c r="B3" s="174"/>
      <c r="C3" s="174" t="str">
        <f t="shared" si="1"/>
        <v>PTC</v>
      </c>
      <c r="D3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3" s="25"/>
      <c r="F3" s="174"/>
      <c r="G3" s="174"/>
      <c r="H3" s="174"/>
      <c r="I3" s="51"/>
      <c r="J3" s="174"/>
      <c r="K3" s="174"/>
      <c r="L3" s="174"/>
      <c r="M3" s="174">
        <f>PTCs[[#This Row],[Footprint]]</f>
        <v>0</v>
      </c>
    </row>
    <row r="4" spans="1:13" x14ac:dyDescent="0.25">
      <c r="A4" s="174">
        <f t="shared" si="0"/>
        <v>3</v>
      </c>
      <c r="B4" s="174"/>
      <c r="C4" s="174" t="str">
        <f t="shared" si="1"/>
        <v>PTC</v>
      </c>
      <c r="D4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4" s="25"/>
      <c r="F4" s="174"/>
      <c r="G4" s="174"/>
      <c r="H4" s="174"/>
      <c r="I4" s="51"/>
      <c r="J4" s="174"/>
      <c r="K4" s="174"/>
      <c r="L4" s="174"/>
      <c r="M4" s="174">
        <f>PTCs[[#This Row],[Footprint]]</f>
        <v>0</v>
      </c>
    </row>
    <row r="5" spans="1:13" x14ac:dyDescent="0.25">
      <c r="A5" s="174">
        <f t="shared" si="0"/>
        <v>4</v>
      </c>
      <c r="B5" s="174"/>
      <c r="C5" s="174" t="str">
        <f t="shared" si="1"/>
        <v>PTC</v>
      </c>
      <c r="D5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5" s="25"/>
      <c r="F5" s="174"/>
      <c r="G5" s="174"/>
      <c r="H5" s="174"/>
      <c r="I5" s="51"/>
      <c r="J5" s="174"/>
      <c r="K5" s="174"/>
      <c r="L5" s="174"/>
      <c r="M5" s="174">
        <f>PTCs[[#This Row],[Footprint]]</f>
        <v>0</v>
      </c>
    </row>
    <row r="6" spans="1:13" x14ac:dyDescent="0.25">
      <c r="A6" s="174">
        <f t="shared" si="0"/>
        <v>5</v>
      </c>
      <c r="B6" s="174"/>
      <c r="C6" s="174" t="str">
        <f t="shared" si="1"/>
        <v>PTC</v>
      </c>
      <c r="D6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6" s="174"/>
      <c r="F6" s="174"/>
      <c r="G6" s="174"/>
      <c r="H6" s="174"/>
      <c r="I6" s="174"/>
      <c r="J6" s="174"/>
      <c r="K6" s="174"/>
      <c r="L6" s="174"/>
      <c r="M6" s="174">
        <f>PTCs[[#This Row],[Footprint]]</f>
        <v>0</v>
      </c>
    </row>
    <row r="7" spans="1:13" x14ac:dyDescent="0.25">
      <c r="A7" s="174">
        <f t="shared" si="0"/>
        <v>6</v>
      </c>
      <c r="B7" s="174"/>
      <c r="C7" s="174" t="str">
        <f t="shared" si="1"/>
        <v>PTC</v>
      </c>
      <c r="D7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7" s="174"/>
      <c r="F7" s="174"/>
      <c r="G7" s="174"/>
      <c r="H7" s="174"/>
      <c r="I7" s="174"/>
      <c r="J7" s="174"/>
      <c r="K7" s="174"/>
      <c r="L7" s="174"/>
      <c r="M7" s="174">
        <f>PTCs[[#This Row],[Footprint]]</f>
        <v>0</v>
      </c>
    </row>
    <row r="8" spans="1:13" x14ac:dyDescent="0.25">
      <c r="A8" s="174">
        <f t="shared" si="0"/>
        <v>7</v>
      </c>
      <c r="B8" s="174"/>
      <c r="C8" s="174" t="str">
        <f t="shared" si="1"/>
        <v>PTC</v>
      </c>
      <c r="D8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8" s="174"/>
      <c r="F8" s="174"/>
      <c r="G8" s="174"/>
      <c r="H8" s="174"/>
      <c r="I8" s="174"/>
      <c r="J8" s="174"/>
      <c r="K8" s="174"/>
      <c r="L8" s="174"/>
      <c r="M8" s="174">
        <f>PTCs[[#This Row],[Footprint]]</f>
        <v>0</v>
      </c>
    </row>
    <row r="9" spans="1:13" x14ac:dyDescent="0.25">
      <c r="A9" s="174">
        <f t="shared" si="0"/>
        <v>8</v>
      </c>
      <c r="B9" s="174"/>
      <c r="C9" s="174" t="str">
        <f t="shared" si="1"/>
        <v>PTC</v>
      </c>
      <c r="D9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9" s="174"/>
      <c r="F9" s="174"/>
      <c r="G9" s="174"/>
      <c r="H9" s="174"/>
      <c r="I9" s="174"/>
      <c r="J9" s="174"/>
      <c r="K9" s="174"/>
      <c r="L9" s="174"/>
      <c r="M9" s="174">
        <f>PTCs[[#This Row],[Footprint]]</f>
        <v>0</v>
      </c>
    </row>
    <row r="10" spans="1:13" x14ac:dyDescent="0.25">
      <c r="A10" s="174">
        <f t="shared" si="0"/>
        <v>9</v>
      </c>
      <c r="B10" s="174"/>
      <c r="C10" s="174" t="str">
        <f t="shared" si="1"/>
        <v>PTC</v>
      </c>
      <c r="D10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10" s="174"/>
      <c r="F10" s="174"/>
      <c r="G10" s="174"/>
      <c r="H10" s="174"/>
      <c r="I10" s="174"/>
      <c r="J10" s="174"/>
      <c r="K10" s="174"/>
      <c r="L10" s="174"/>
      <c r="M10" s="174">
        <f>PTCs[[#This Row],[Footprint]]</f>
        <v>0</v>
      </c>
    </row>
    <row r="11" spans="1:13" x14ac:dyDescent="0.25">
      <c r="A11" s="174">
        <f t="shared" si="0"/>
        <v>10</v>
      </c>
      <c r="B11" s="174"/>
      <c r="C11" s="174" t="str">
        <f t="shared" si="1"/>
        <v>PTC</v>
      </c>
      <c r="D11" s="8" t="str">
        <f>CONCATENATE(PTCs[[#This Row],[Category]]," ",PTCs[[#This Row],[Resistance@25°C(Ohm)]]," ",PTCs[[#This Row],[Percentage R. Tolerance(%)]]," ",PTCs[[#This Row],[Footprint]]," ",PTCs[[#This Row],[Rating]])</f>
        <v xml:space="preserve">PTC    </v>
      </c>
      <c r="E11" s="174"/>
      <c r="F11" s="174"/>
      <c r="G11" s="174"/>
      <c r="H11" s="174"/>
      <c r="I11" s="174"/>
      <c r="J11" s="174"/>
      <c r="K11" s="174"/>
      <c r="L11" s="174"/>
      <c r="M11" s="174">
        <f>PTCs[[#This Row],[Footprint]]</f>
        <v>0</v>
      </c>
    </row>
  </sheetData>
  <dataValidations count="5">
    <dataValidation type="list" allowBlank="1" showInputMessage="1" showErrorMessage="1" sqref="I2:I11">
      <formula1>Manufacturers_PTCs</formula1>
    </dataValidation>
    <dataValidation type="list" allowBlank="1" showInputMessage="1" showErrorMessage="1" sqref="L2:L11">
      <formula1>Symbols_PTCs</formula1>
    </dataValidation>
    <dataValidation type="list" allowBlank="1" showInputMessage="1" showErrorMessage="1" sqref="G2:G11">
      <formula1>Footprints_PTCs</formula1>
    </dataValidation>
    <dataValidation type="list" allowBlank="1" showInputMessage="1" showErrorMessage="1" sqref="K2:K11">
      <formula1>Process_List</formula1>
    </dataValidation>
    <dataValidation type="list" allowBlank="1" showInputMessage="1" showErrorMessage="1" sqref="J2:J11">
      <formula1>Rating_List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23"/>
  <sheetViews>
    <sheetView zoomScaleNormal="100" workbookViewId="0">
      <pane xSplit="2" topLeftCell="C1" activePane="topRight" state="frozen"/>
      <selection activeCell="F29" sqref="F29"/>
      <selection pane="topRight" activeCell="D17" sqref="D17"/>
    </sheetView>
  </sheetViews>
  <sheetFormatPr defaultRowHeight="15" x14ac:dyDescent="0.25"/>
  <cols>
    <col min="1" max="1" width="5.140625" bestFit="1" customWidth="1"/>
    <col min="2" max="2" width="11" bestFit="1" customWidth="1"/>
    <col min="3" max="3" width="11.140625" customWidth="1"/>
    <col min="4" max="4" width="47" bestFit="1" customWidth="1"/>
    <col min="5" max="5" width="25.7109375" style="173" bestFit="1" customWidth="1"/>
    <col min="6" max="6" width="25.5703125" style="222" bestFit="1" customWidth="1"/>
    <col min="7" max="7" width="24.7109375" bestFit="1" customWidth="1"/>
    <col min="8" max="9" width="16.7109375" bestFit="1" customWidth="1"/>
    <col min="10" max="10" width="15.5703125" bestFit="1" customWidth="1"/>
    <col min="11" max="11" width="8.85546875" bestFit="1" customWidth="1"/>
    <col min="12" max="12" width="10" bestFit="1" customWidth="1"/>
    <col min="13" max="13" width="12.7109375" bestFit="1" customWidth="1"/>
    <col min="14" max="14" width="15" bestFit="1" customWidth="1"/>
  </cols>
  <sheetData>
    <row r="1" spans="1:14" x14ac:dyDescent="0.25">
      <c r="A1" t="s">
        <v>0</v>
      </c>
      <c r="B1" s="7" t="s">
        <v>67</v>
      </c>
      <c r="C1" s="7" t="s">
        <v>7</v>
      </c>
      <c r="D1" t="s">
        <v>8</v>
      </c>
      <c r="E1" s="7" t="s">
        <v>1589</v>
      </c>
      <c r="F1" s="7" t="s">
        <v>1590</v>
      </c>
      <c r="G1" s="30" t="s">
        <v>14</v>
      </c>
      <c r="H1" s="7" t="s">
        <v>18</v>
      </c>
      <c r="I1" s="7" t="s">
        <v>2</v>
      </c>
      <c r="J1" s="7" t="s">
        <v>1</v>
      </c>
      <c r="K1" s="7" t="s">
        <v>6</v>
      </c>
      <c r="L1" s="7" t="s">
        <v>5</v>
      </c>
      <c r="M1" s="7" t="s">
        <v>3</v>
      </c>
      <c r="N1" t="s">
        <v>4</v>
      </c>
    </row>
    <row r="2" spans="1:14" x14ac:dyDescent="0.25">
      <c r="A2" s="1">
        <f t="shared" ref="A2:A11" si="0">ROW()-1</f>
        <v>1</v>
      </c>
      <c r="B2" s="44" t="s">
        <v>357</v>
      </c>
      <c r="C2" s="1" t="str">
        <f>"LED"</f>
        <v>LED</v>
      </c>
      <c r="D2" s="47" t="str">
        <f>CONCATENATE(LEDs[[#This Row],[Category]]," ",LEDs[[#This Row],[Part Number]]," ",LEDs[[#This Row],[BIN]]," ",LEDs[[#This Row],[Rating]])</f>
        <v>LED KW3.CGLNM3.TK T6T9-6L07L0-JC AECQ</v>
      </c>
      <c r="E2" s="20" t="s">
        <v>1580</v>
      </c>
      <c r="F2" s="221" t="s">
        <v>141</v>
      </c>
      <c r="G2" s="1" t="s">
        <v>359</v>
      </c>
      <c r="H2" s="1"/>
      <c r="I2" s="1" t="s">
        <v>358</v>
      </c>
      <c r="J2" s="1" t="s">
        <v>354</v>
      </c>
      <c r="K2" s="1" t="s">
        <v>11</v>
      </c>
      <c r="L2" s="1" t="s">
        <v>10</v>
      </c>
      <c r="M2" s="1" t="s">
        <v>171</v>
      </c>
      <c r="N2" s="1">
        <f>LEDs[[#This Row],[Footprint]]</f>
        <v>0</v>
      </c>
    </row>
    <row r="3" spans="1:14" x14ac:dyDescent="0.25">
      <c r="A3" s="174">
        <f t="shared" si="0"/>
        <v>2</v>
      </c>
      <c r="B3" s="44" t="s">
        <v>361</v>
      </c>
      <c r="C3" s="174" t="str">
        <f t="shared" ref="C3:C6" si="1">"LED"</f>
        <v>LED</v>
      </c>
      <c r="D3" s="47" t="str">
        <f>CONCATENATE(LEDs[[#This Row],[Category]]," ",LEDs[[#This Row],[Part Number]]," ",LEDs[[#This Row],[BIN]]," ",LEDs[[#This Row],[Rating]])</f>
        <v>LED KS.DMLN31.23 GZHY-J3T3-68 AECQ</v>
      </c>
      <c r="E3" s="48" t="s">
        <v>1581</v>
      </c>
      <c r="F3" s="221" t="s">
        <v>142</v>
      </c>
      <c r="G3" s="1" t="s">
        <v>360</v>
      </c>
      <c r="H3" s="1"/>
      <c r="I3" s="1" t="s">
        <v>356</v>
      </c>
      <c r="J3" s="1" t="s">
        <v>354</v>
      </c>
      <c r="K3" s="46" t="s">
        <v>11</v>
      </c>
      <c r="L3" s="1" t="s">
        <v>10</v>
      </c>
      <c r="M3" s="1" t="s">
        <v>171</v>
      </c>
      <c r="N3" s="1">
        <f>LEDs[[#This Row],[Footprint]]</f>
        <v>0</v>
      </c>
    </row>
    <row r="4" spans="1:14" x14ac:dyDescent="0.25">
      <c r="A4" s="174">
        <f t="shared" si="0"/>
        <v>3</v>
      </c>
      <c r="B4" s="44" t="s">
        <v>364</v>
      </c>
      <c r="C4" s="174" t="str">
        <f t="shared" si="1"/>
        <v>LED</v>
      </c>
      <c r="D4" s="47" t="str">
        <f>CONCATENATE(LEDs[[#This Row],[Category]]," ",LEDs[[#This Row],[Part Number]]," ",LEDs[[#This Row],[BIN]]," ",LEDs[[#This Row],[Rating]])</f>
        <v>LED KY.DMLN31.23 HYJX-46-J3T3 AECQ</v>
      </c>
      <c r="E4" s="48" t="s">
        <v>1582</v>
      </c>
      <c r="F4" s="221" t="s">
        <v>142</v>
      </c>
      <c r="G4" s="1" t="s">
        <v>363</v>
      </c>
      <c r="H4" s="1"/>
      <c r="I4" s="1" t="s">
        <v>362</v>
      </c>
      <c r="J4" s="1" t="s">
        <v>354</v>
      </c>
      <c r="K4" s="46" t="s">
        <v>11</v>
      </c>
      <c r="L4" s="1" t="s">
        <v>10</v>
      </c>
      <c r="M4" s="1" t="s">
        <v>171</v>
      </c>
      <c r="N4" s="1">
        <f>LEDs[[#This Row],[Footprint]]</f>
        <v>0</v>
      </c>
    </row>
    <row r="5" spans="1:14" x14ac:dyDescent="0.25">
      <c r="A5" s="174">
        <f t="shared" si="0"/>
        <v>4</v>
      </c>
      <c r="B5" s="44" t="s">
        <v>366</v>
      </c>
      <c r="C5" s="174" t="str">
        <f t="shared" si="1"/>
        <v>LED</v>
      </c>
      <c r="D5" s="47" t="str">
        <f>CONCATENATE(LEDs[[#This Row],[Category]]," ",LEDs[[#This Row],[Part Number]]," ",LEDs[[#This Row],[BIN]]," ",LEDs[[#This Row],[Rating]])</f>
        <v>LED KW.DMLN33.SG 7J7K-8E8G-ebvF46fcbB46 AECQ</v>
      </c>
      <c r="E5" s="48" t="s">
        <v>1583</v>
      </c>
      <c r="F5" s="221" t="s">
        <v>142</v>
      </c>
      <c r="G5" s="1" t="s">
        <v>368</v>
      </c>
      <c r="H5" s="1"/>
      <c r="I5" s="1" t="s">
        <v>367</v>
      </c>
      <c r="J5" s="1" t="s">
        <v>354</v>
      </c>
      <c r="K5" s="46" t="s">
        <v>11</v>
      </c>
      <c r="L5" s="1" t="s">
        <v>10</v>
      </c>
      <c r="M5" s="1"/>
      <c r="N5" s="1">
        <f>LEDs[[#This Row],[Footprint]]</f>
        <v>0</v>
      </c>
    </row>
    <row r="6" spans="1:14" x14ac:dyDescent="0.25">
      <c r="A6" s="174">
        <f t="shared" si="0"/>
        <v>5</v>
      </c>
      <c r="B6" s="44" t="s">
        <v>1417</v>
      </c>
      <c r="C6" s="174" t="str">
        <f t="shared" si="1"/>
        <v>LED</v>
      </c>
      <c r="D6" s="43" t="str">
        <f>CONCATENATE(LEDs[[#This Row],[Category]]," ",LEDs[[#This Row],[Part Number]]," ",LEDs[[#This Row],[BIN]]," ",LEDs[[#This Row],[Rating]])</f>
        <v>LED LS.E67F BACA-68-3A4A AECQ</v>
      </c>
      <c r="E6" s="48" t="s">
        <v>1584</v>
      </c>
      <c r="F6" s="221" t="s">
        <v>1587</v>
      </c>
      <c r="G6" s="174" t="s">
        <v>1462</v>
      </c>
      <c r="H6" s="174" t="s">
        <v>1416</v>
      </c>
      <c r="I6" s="174" t="s">
        <v>1460</v>
      </c>
      <c r="J6" s="174" t="s">
        <v>354</v>
      </c>
      <c r="K6" s="174" t="s">
        <v>11</v>
      </c>
      <c r="L6" s="174" t="s">
        <v>10</v>
      </c>
      <c r="M6" s="174" t="s">
        <v>171</v>
      </c>
      <c r="N6" s="174" t="str">
        <f>LEDs[[#This Row],[Footprint]]</f>
        <v>LS E67F_Fprt</v>
      </c>
    </row>
    <row r="7" spans="1:14" x14ac:dyDescent="0.25">
      <c r="A7" s="174">
        <f t="shared" si="0"/>
        <v>6</v>
      </c>
      <c r="B7" s="223" t="s">
        <v>1455</v>
      </c>
      <c r="C7" s="48" t="str">
        <f t="shared" ref="C7:C12" si="2">"LED"</f>
        <v>LED</v>
      </c>
      <c r="D7" s="43" t="str">
        <f>CONCATENATE(LEDs[[#This Row],[Category]]," ",LEDs[[#This Row],[Part Number]]," ",LEDs[[#This Row],[BIN]]," ",LEDs[[#This Row],[Rating]])</f>
        <v>LED NFSA172CT P13d22P14-L3- AECQ</v>
      </c>
      <c r="E7" s="48" t="s">
        <v>1583</v>
      </c>
      <c r="F7" s="221" t="s">
        <v>300</v>
      </c>
      <c r="G7" s="174" t="s">
        <v>1465</v>
      </c>
      <c r="H7" s="174"/>
      <c r="I7" s="174" t="s">
        <v>1459</v>
      </c>
      <c r="J7" s="174" t="s">
        <v>1463</v>
      </c>
      <c r="K7" s="174" t="s">
        <v>11</v>
      </c>
      <c r="L7" s="174" t="s">
        <v>10</v>
      </c>
      <c r="M7" s="174"/>
      <c r="N7" s="174">
        <f>LEDs[[#This Row],[Footprint]]</f>
        <v>0</v>
      </c>
    </row>
    <row r="8" spans="1:14" x14ac:dyDescent="0.25">
      <c r="A8" s="174">
        <f t="shared" si="0"/>
        <v>7</v>
      </c>
      <c r="B8" s="44" t="s">
        <v>1454</v>
      </c>
      <c r="C8" s="48" t="str">
        <f t="shared" si="2"/>
        <v>LED</v>
      </c>
      <c r="D8" s="43" t="str">
        <f>CONCATENATE(LEDs[[#This Row],[Category]]," ",LEDs[[#This Row],[Part Number]]," ",LEDs[[#This Row],[BIN]]," ",LEDs[[#This Row],[Rating]])</f>
        <v>LED NFSA172CT P13d22P14-L3- AECQ</v>
      </c>
      <c r="E8" s="48" t="s">
        <v>1583</v>
      </c>
      <c r="F8" s="221" t="s">
        <v>300</v>
      </c>
      <c r="G8" s="174" t="s">
        <v>1465</v>
      </c>
      <c r="H8" s="174"/>
      <c r="I8" s="174" t="s">
        <v>1459</v>
      </c>
      <c r="J8" s="174" t="s">
        <v>1463</v>
      </c>
      <c r="K8" s="174" t="s">
        <v>11</v>
      </c>
      <c r="L8" s="174" t="s">
        <v>10</v>
      </c>
      <c r="M8" s="174"/>
      <c r="N8" s="174">
        <f>LEDs[[#This Row],[Footprint]]</f>
        <v>0</v>
      </c>
    </row>
    <row r="9" spans="1:14" x14ac:dyDescent="0.25">
      <c r="A9" s="174">
        <f t="shared" si="0"/>
        <v>8</v>
      </c>
      <c r="B9" s="44" t="s">
        <v>1456</v>
      </c>
      <c r="C9" s="48" t="str">
        <f t="shared" si="2"/>
        <v>LED</v>
      </c>
      <c r="D9" s="43" t="str">
        <f>CONCATENATE(LEDs[[#This Row],[Category]]," ",LEDs[[#This Row],[Part Number]]," ",LEDs[[#This Row],[BIN]]," ",LEDs[[#This Row],[Rating]])</f>
        <v>LED LUW.CEUN.CE 5L7L-HNJN-8E8F AECQ</v>
      </c>
      <c r="E9" s="48" t="s">
        <v>1585</v>
      </c>
      <c r="F9" s="221" t="s">
        <v>1588</v>
      </c>
      <c r="G9" s="174" t="s">
        <v>1467</v>
      </c>
      <c r="H9" s="174"/>
      <c r="I9" s="174" t="s">
        <v>1466</v>
      </c>
      <c r="J9" s="174" t="s">
        <v>354</v>
      </c>
      <c r="K9" s="174" t="s">
        <v>11</v>
      </c>
      <c r="L9" s="174" t="s">
        <v>10</v>
      </c>
      <c r="M9" s="174"/>
      <c r="N9" s="174">
        <f>LEDs[[#This Row],[Footprint]]</f>
        <v>0</v>
      </c>
    </row>
    <row r="10" spans="1:14" x14ac:dyDescent="0.25">
      <c r="A10" s="174">
        <f t="shared" si="0"/>
        <v>9</v>
      </c>
      <c r="B10" s="44" t="s">
        <v>1457</v>
      </c>
      <c r="C10" s="48" t="str">
        <f t="shared" si="2"/>
        <v>LED</v>
      </c>
      <c r="D10" s="43" t="str">
        <f>CONCATENATE(LEDs[[#This Row],[Category]]," ",LEDs[[#This Row],[Part Number]]," ",LEDs[[#This Row],[BIN]]," ",LEDs[[#This Row],[Rating]])</f>
        <v>LED KY.DMLS31.FY 6L7L-5F-8E8G AECQ</v>
      </c>
      <c r="E10" s="48" t="s">
        <v>1586</v>
      </c>
      <c r="F10" s="221" t="s">
        <v>144</v>
      </c>
      <c r="G10" s="174" t="s">
        <v>1468</v>
      </c>
      <c r="H10" s="174"/>
      <c r="I10" s="174" t="s">
        <v>1461</v>
      </c>
      <c r="J10" s="174" t="s">
        <v>354</v>
      </c>
      <c r="K10" s="174" t="s">
        <v>11</v>
      </c>
      <c r="L10" s="174" t="s">
        <v>10</v>
      </c>
      <c r="M10" s="174"/>
      <c r="N10" s="174">
        <f>LEDs[[#This Row],[Footprint]]</f>
        <v>0</v>
      </c>
    </row>
    <row r="11" spans="1:14" x14ac:dyDescent="0.25">
      <c r="A11" s="174">
        <f t="shared" si="0"/>
        <v>10</v>
      </c>
      <c r="B11" s="44" t="s">
        <v>1458</v>
      </c>
      <c r="C11" s="48" t="str">
        <f t="shared" si="2"/>
        <v>LED</v>
      </c>
      <c r="D11" s="43" t="str">
        <f>CONCATENATE(LEDs[[#This Row],[Category]]," ",LEDs[[#This Row],[Part Number]]," ",LEDs[[#This Row],[BIN]]," ",LEDs[[#This Row],[Rating]])</f>
        <v>LED LS.E67F BABB-1-3A4B AECQ</v>
      </c>
      <c r="E11" s="48" t="s">
        <v>1584</v>
      </c>
      <c r="F11" s="221" t="s">
        <v>1587</v>
      </c>
      <c r="G11" s="174" t="s">
        <v>1469</v>
      </c>
      <c r="H11" s="174"/>
      <c r="I11" s="174" t="s">
        <v>1460</v>
      </c>
      <c r="J11" s="174" t="s">
        <v>354</v>
      </c>
      <c r="K11" s="174" t="s">
        <v>11</v>
      </c>
      <c r="L11" s="174" t="s">
        <v>10</v>
      </c>
      <c r="M11" s="174"/>
      <c r="N11" s="174">
        <f>LEDs[[#This Row],[Footprint]]</f>
        <v>0</v>
      </c>
    </row>
    <row r="12" spans="1:14" x14ac:dyDescent="0.25">
      <c r="A12" s="48">
        <f t="shared" ref="A12:A17" si="3">ROW()-1</f>
        <v>11</v>
      </c>
      <c r="B12" s="44" t="s">
        <v>1658</v>
      </c>
      <c r="C12" s="48" t="str">
        <f t="shared" si="2"/>
        <v>LED</v>
      </c>
      <c r="D12" s="43" t="str">
        <f>CONCATENATE(LEDs[[#This Row],[Category]]," ",LEDs[[#This Row],[Part Number]]," ",LEDs[[#This Row],[BIN]]," ",LEDs[[#This Row],[Rating]])</f>
        <v>LED KY DDLN31.FY LED 5H6H7H8H AECQ</v>
      </c>
      <c r="E12" s="48" t="s">
        <v>1660</v>
      </c>
      <c r="F12" s="221" t="s">
        <v>300</v>
      </c>
      <c r="G12" s="174" t="s">
        <v>1661</v>
      </c>
      <c r="H12" s="174" t="s">
        <v>1659</v>
      </c>
      <c r="I12" s="174" t="s">
        <v>1659</v>
      </c>
      <c r="J12" s="174" t="s">
        <v>354</v>
      </c>
      <c r="K12" s="174" t="s">
        <v>11</v>
      </c>
      <c r="L12" s="174" t="s">
        <v>10</v>
      </c>
      <c r="M12" s="174" t="s">
        <v>171</v>
      </c>
      <c r="N12" s="48" t="str">
        <f>LEDs[[#This Row],[Footprint]]</f>
        <v>KY DDLN31.FY LED</v>
      </c>
    </row>
    <row r="13" spans="1:14" x14ac:dyDescent="0.25">
      <c r="A13" s="48">
        <f t="shared" si="3"/>
        <v>12</v>
      </c>
      <c r="B13" s="44" t="s">
        <v>1725</v>
      </c>
      <c r="C13" s="48" t="s">
        <v>1678</v>
      </c>
      <c r="D13" s="43" t="str">
        <f>CONCATENATE(LEDs[[#This Row],[Category]]," ",LEDs[[#This Row],[Part Number]]," ",LEDs[[#This Row],[BIN]]," ",LEDs[[#This Row],[Rating]])</f>
        <v>LED LA.A67F  AA-AB AECQ</v>
      </c>
      <c r="E13" s="48" t="s">
        <v>1699</v>
      </c>
      <c r="F13" s="221" t="s">
        <v>1679</v>
      </c>
      <c r="G13" s="174" t="s">
        <v>1726</v>
      </c>
      <c r="H13" s="174" t="s">
        <v>1677</v>
      </c>
      <c r="I13" s="174" t="s">
        <v>1680</v>
      </c>
      <c r="J13" s="174" t="s">
        <v>354</v>
      </c>
      <c r="K13" s="174" t="s">
        <v>11</v>
      </c>
      <c r="L13" s="174" t="s">
        <v>10</v>
      </c>
      <c r="M13" s="174" t="s">
        <v>171</v>
      </c>
      <c r="N13" s="48" t="str">
        <f>LEDs[[#This Row],[Footprint]]</f>
        <v>LA.A67F</v>
      </c>
    </row>
    <row r="14" spans="1:14" x14ac:dyDescent="0.25">
      <c r="A14" s="48">
        <f t="shared" si="3"/>
        <v>13</v>
      </c>
      <c r="B14" s="44" t="s">
        <v>1728</v>
      </c>
      <c r="C14" s="48" t="s">
        <v>1678</v>
      </c>
      <c r="D14" s="43" t="str">
        <f>CONCATENATE(LEDs[[#This Row],[Category]]," ",LEDs[[#This Row],[Part Number]]," ",LEDs[[#This Row],[BIN]]," ",LEDs[[#This Row],[Rating]])</f>
        <v>LED LA G6SP.02 8E-5F AECQ</v>
      </c>
      <c r="E14" s="48" t="s">
        <v>1698</v>
      </c>
      <c r="F14" s="221" t="s">
        <v>1697</v>
      </c>
      <c r="G14" s="174" t="s">
        <v>1727</v>
      </c>
      <c r="H14" s="174" t="s">
        <v>1695</v>
      </c>
      <c r="I14" s="174" t="s">
        <v>1696</v>
      </c>
      <c r="J14" s="174" t="s">
        <v>354</v>
      </c>
      <c r="K14" s="174" t="s">
        <v>11</v>
      </c>
      <c r="L14" s="174" t="s">
        <v>10</v>
      </c>
      <c r="M14" s="174" t="s">
        <v>171</v>
      </c>
      <c r="N14" s="48" t="str">
        <f>LEDs[[#This Row],[Footprint]]</f>
        <v>LA G6SP.02 LED</v>
      </c>
    </row>
    <row r="15" spans="1:14" x14ac:dyDescent="0.25">
      <c r="A15" s="48">
        <f t="shared" si="3"/>
        <v>14</v>
      </c>
      <c r="B15" s="44" t="s">
        <v>1720</v>
      </c>
      <c r="C15" s="48" t="s">
        <v>1678</v>
      </c>
      <c r="D15" s="43" t="str">
        <f>CONCATENATE(LEDs[[#This Row],[Category]]," ",LEDs[[#This Row],[Part Number]]," ",LEDs[[#This Row],[BIN]]," ",LEDs[[#This Row],[Rating]])</f>
        <v>LED LY G6SP CA-DB AECQ</v>
      </c>
      <c r="E15" s="20" t="s">
        <v>1698</v>
      </c>
      <c r="F15" s="221" t="s">
        <v>1697</v>
      </c>
      <c r="G15" s="174" t="s">
        <v>1721</v>
      </c>
      <c r="H15" s="241" t="s">
        <v>1717</v>
      </c>
      <c r="I15" s="174" t="s">
        <v>1716</v>
      </c>
      <c r="J15" s="174" t="s">
        <v>354</v>
      </c>
      <c r="K15" s="174" t="s">
        <v>11</v>
      </c>
      <c r="L15" s="174" t="s">
        <v>10</v>
      </c>
      <c r="M15" s="174" t="s">
        <v>171</v>
      </c>
      <c r="N15" s="48" t="str">
        <f>LEDs[[#This Row],[Footprint]]</f>
        <v>LY.G6SP LED</v>
      </c>
    </row>
    <row r="16" spans="1:14" x14ac:dyDescent="0.25">
      <c r="A16" s="48">
        <f t="shared" si="3"/>
        <v>15</v>
      </c>
      <c r="B16" s="44" t="s">
        <v>1722</v>
      </c>
      <c r="C16" s="48" t="str">
        <f>"LED"</f>
        <v>LED</v>
      </c>
      <c r="D16" s="43" t="str">
        <f>CONCATENATE(LEDs[[#This Row],[Category]]," ",LEDs[[#This Row],[Part Number]]," ",LEDs[[#This Row],[BIN]]," ",LEDs[[#This Row],[Rating]])</f>
        <v>LED LWG6SP EA-FA AECQ</v>
      </c>
      <c r="E16" s="20" t="s">
        <v>1724</v>
      </c>
      <c r="F16" s="221" t="s">
        <v>1697</v>
      </c>
      <c r="G16" s="174" t="s">
        <v>1723</v>
      </c>
      <c r="H16" s="174" t="s">
        <v>1718</v>
      </c>
      <c r="I16" s="174" t="s">
        <v>1719</v>
      </c>
      <c r="J16" s="174" t="s">
        <v>354</v>
      </c>
      <c r="K16" s="174" t="s">
        <v>11</v>
      </c>
      <c r="L16" s="174" t="s">
        <v>10</v>
      </c>
      <c r="M16" s="174" t="s">
        <v>171</v>
      </c>
      <c r="N16" s="48" t="str">
        <f>LEDs[[#This Row],[Footprint]]</f>
        <v>LW.G6SP LED</v>
      </c>
    </row>
    <row r="17" spans="1:14" x14ac:dyDescent="0.25">
      <c r="A17" s="48">
        <f t="shared" si="3"/>
        <v>16</v>
      </c>
      <c r="B17" s="174"/>
      <c r="C17" s="48" t="str">
        <f>"LED"</f>
        <v>LED</v>
      </c>
      <c r="D17" s="43" t="str">
        <f>CONCATENATE(LEDs[[#This Row],[Category]]," ",LEDs[[#This Row],[Part Number]]," ",LEDs[[#This Row],[BIN]]," ",LEDs[[#This Row],[Rating]])</f>
        <v>LED LY G6SP.02 8D5F-56 AECQ</v>
      </c>
      <c r="E17" s="20" t="s">
        <v>1698</v>
      </c>
      <c r="F17" s="221" t="s">
        <v>1697</v>
      </c>
      <c r="G17" s="174" t="s">
        <v>1744</v>
      </c>
      <c r="H17" s="174" t="s">
        <v>1717</v>
      </c>
      <c r="I17" s="174" t="s">
        <v>1743</v>
      </c>
      <c r="J17" s="174" t="s">
        <v>354</v>
      </c>
      <c r="K17" s="174" t="s">
        <v>11</v>
      </c>
      <c r="L17" s="174" t="s">
        <v>10</v>
      </c>
      <c r="M17" s="174" t="s">
        <v>171</v>
      </c>
      <c r="N17" s="48" t="str">
        <f>LEDs[[#This Row],[Footprint]]</f>
        <v>LY.G6SP LED</v>
      </c>
    </row>
    <row r="18" spans="1:14" x14ac:dyDescent="0.25">
      <c r="A18" s="48">
        <f>ROW()-1</f>
        <v>17</v>
      </c>
      <c r="B18" s="174"/>
      <c r="C18" s="48" t="s">
        <v>1678</v>
      </c>
      <c r="D18" s="43" t="str">
        <f>CONCATENATE(LEDs[[#This Row],[Category]]," ",LEDs[[#This Row],[Part Number]]," ",LEDs[[#This Row],[BIN]]," ",LEDs[[#This Row],[Rating]])</f>
        <v>LED LA G6SP.02 8E-6F AECQ</v>
      </c>
      <c r="E18" s="20" t="s">
        <v>1698</v>
      </c>
      <c r="F18" s="221" t="s">
        <v>1697</v>
      </c>
      <c r="G18" s="174" t="s">
        <v>1746</v>
      </c>
      <c r="H18" s="174" t="s">
        <v>1695</v>
      </c>
      <c r="I18" s="174" t="s">
        <v>1696</v>
      </c>
      <c r="J18" s="174" t="s">
        <v>354</v>
      </c>
      <c r="K18" s="174" t="s">
        <v>11</v>
      </c>
      <c r="L18" s="174" t="s">
        <v>10</v>
      </c>
      <c r="M18" s="174" t="s">
        <v>171</v>
      </c>
      <c r="N18" s="48" t="str">
        <f>LEDs[[#This Row],[Footprint]]</f>
        <v>LA G6SP.02 LED</v>
      </c>
    </row>
    <row r="19" spans="1:14" x14ac:dyDescent="0.25">
      <c r="A19" s="48">
        <f>ROW()-1</f>
        <v>18</v>
      </c>
      <c r="B19" s="174"/>
      <c r="C19" s="48" t="str">
        <f>"LED"</f>
        <v>LED</v>
      </c>
      <c r="D19" s="43" t="str">
        <f>CONCATENATE(LEDs[[#This Row],[Category]]," ",LEDs[[#This Row],[Part Number]]," ",LEDs[[#This Row],[BIN]]," ",LEDs[[#This Row],[Rating]])</f>
        <v>LED KW DMLQ33.SG 6L8LF-ebxD46ebzB46-8E8G AECQ</v>
      </c>
      <c r="E19" s="48" t="s">
        <v>1586</v>
      </c>
      <c r="F19" s="221" t="s">
        <v>1588</v>
      </c>
      <c r="G19" s="174" t="s">
        <v>1752</v>
      </c>
      <c r="H19" s="174"/>
      <c r="I19" s="174" t="s">
        <v>1753</v>
      </c>
      <c r="J19" s="174" t="s">
        <v>354</v>
      </c>
      <c r="K19" s="174" t="s">
        <v>11</v>
      </c>
      <c r="L19" s="174" t="s">
        <v>10</v>
      </c>
      <c r="M19" s="174" t="s">
        <v>171</v>
      </c>
      <c r="N19" s="48">
        <f>LEDs[[#This Row],[Footprint]]</f>
        <v>0</v>
      </c>
    </row>
    <row r="20" spans="1:14" x14ac:dyDescent="0.25">
      <c r="A20" s="48">
        <f>ROW()-1</f>
        <v>19</v>
      </c>
      <c r="B20" s="174"/>
      <c r="C20" s="48" t="str">
        <f>"LED"</f>
        <v>LED</v>
      </c>
      <c r="D20" s="43" t="str">
        <f>CONCATENATE(LEDs[[#This Row],[Category]]," ",LEDs[[#This Row],[Part Number]]," ",LEDs[[#This Row],[BIN]]," ",LEDs[[#This Row],[Rating]])</f>
        <v>LED KR DMLQ32.23 6K8K-46-J3T3 AECQ</v>
      </c>
      <c r="E20" s="48" t="s">
        <v>1698</v>
      </c>
      <c r="F20" s="221" t="s">
        <v>1588</v>
      </c>
      <c r="G20" s="174" t="s">
        <v>1755</v>
      </c>
      <c r="H20" s="174"/>
      <c r="I20" s="174" t="s">
        <v>1754</v>
      </c>
      <c r="J20" s="174" t="s">
        <v>354</v>
      </c>
      <c r="K20" s="174" t="s">
        <v>11</v>
      </c>
      <c r="L20" s="174" t="s">
        <v>10</v>
      </c>
      <c r="M20" s="174" t="s">
        <v>171</v>
      </c>
      <c r="N20" s="48">
        <f>LEDs[[#This Row],[Footprint]]</f>
        <v>0</v>
      </c>
    </row>
    <row r="21" spans="1:14" x14ac:dyDescent="0.25">
      <c r="E21" s="232"/>
      <c r="F21" s="220"/>
    </row>
    <row r="22" spans="1:14" x14ac:dyDescent="0.25">
      <c r="E22" s="232"/>
      <c r="F22" s="220"/>
    </row>
    <row r="23" spans="1:14" x14ac:dyDescent="0.25">
      <c r="E23" s="232"/>
      <c r="F23" s="220"/>
    </row>
  </sheetData>
  <dataValidations count="5">
    <dataValidation type="list" allowBlank="1" showInputMessage="1" showErrorMessage="1" sqref="L2:L20">
      <formula1>Process_List</formula1>
    </dataValidation>
    <dataValidation type="list" allowBlank="1" showInputMessage="1" showErrorMessage="1" sqref="K2:K20">
      <formula1>Rating_List</formula1>
    </dataValidation>
    <dataValidation type="list" allowBlank="1" showInputMessage="1" showErrorMessage="1" sqref="M2:M20">
      <formula1>Symbols_LEDs</formula1>
    </dataValidation>
    <dataValidation type="list" allowBlank="1" showInputMessage="1" showErrorMessage="1" sqref="H2:H20">
      <formula1>Footprints_LEDs</formula1>
    </dataValidation>
    <dataValidation type="list" allowBlank="1" showInputMessage="1" showErrorMessage="1" sqref="J2:J20">
      <formula1>Manufacturers_LEDs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41"/>
  <sheetViews>
    <sheetView zoomScale="85" zoomScaleNormal="85" workbookViewId="0">
      <selection activeCell="D31" sqref="D31"/>
    </sheetView>
  </sheetViews>
  <sheetFormatPr defaultRowHeight="15" x14ac:dyDescent="0.25"/>
  <cols>
    <col min="1" max="1" width="8.42578125" bestFit="1" customWidth="1"/>
    <col min="2" max="2" width="11.42578125" bestFit="1" customWidth="1"/>
    <col min="3" max="3" width="12.140625" bestFit="1" customWidth="1"/>
    <col min="4" max="4" width="45.85546875" bestFit="1" customWidth="1"/>
    <col min="5" max="5" width="10.140625" bestFit="1" customWidth="1"/>
    <col min="6" max="6" width="33.5703125" bestFit="1" customWidth="1"/>
    <col min="7" max="7" width="25.140625" bestFit="1" customWidth="1"/>
    <col min="8" max="8" width="29.5703125" bestFit="1" customWidth="1"/>
    <col min="9" max="9" width="15" bestFit="1" customWidth="1"/>
    <col min="10" max="10" width="11.5703125" bestFit="1" customWidth="1"/>
    <col min="11" max="11" width="20" bestFit="1" customWidth="1"/>
    <col min="12" max="12" width="15.5703125" bestFit="1" customWidth="1"/>
    <col min="13" max="13" width="11.140625" bestFit="1" customWidth="1"/>
    <col min="14" max="14" width="10" bestFit="1" customWidth="1"/>
    <col min="15" max="15" width="22.7109375" bestFit="1" customWidth="1"/>
    <col min="16" max="16" width="15" bestFit="1" customWidth="1"/>
    <col min="17" max="17" width="37.85546875" bestFit="1" customWidth="1"/>
  </cols>
  <sheetData>
    <row r="1" spans="1:17" x14ac:dyDescent="0.25">
      <c r="A1" s="46" t="s">
        <v>0</v>
      </c>
      <c r="B1" s="92" t="s">
        <v>67</v>
      </c>
      <c r="C1" s="91" t="s">
        <v>7</v>
      </c>
      <c r="D1" s="91" t="s">
        <v>8</v>
      </c>
      <c r="E1" s="30" t="s">
        <v>15</v>
      </c>
      <c r="F1" s="92" t="s">
        <v>1546</v>
      </c>
      <c r="G1" s="92" t="s">
        <v>1547</v>
      </c>
      <c r="H1" s="92" t="s">
        <v>1548</v>
      </c>
      <c r="I1" s="30" t="s">
        <v>167</v>
      </c>
      <c r="J1" s="92" t="s">
        <v>18</v>
      </c>
      <c r="K1" s="92" t="s">
        <v>2</v>
      </c>
      <c r="L1" s="92" t="s">
        <v>1</v>
      </c>
      <c r="M1" s="30" t="s">
        <v>6</v>
      </c>
      <c r="N1" s="30" t="s">
        <v>5</v>
      </c>
      <c r="O1" s="92" t="s">
        <v>3</v>
      </c>
      <c r="P1" s="46" t="s">
        <v>4</v>
      </c>
      <c r="Q1" s="91" t="s">
        <v>251</v>
      </c>
    </row>
    <row r="2" spans="1:17" x14ac:dyDescent="0.25">
      <c r="A2" s="46">
        <f t="shared" ref="A2:A24" si="0">ROW()-1</f>
        <v>1</v>
      </c>
      <c r="B2" s="235" t="s">
        <v>322</v>
      </c>
      <c r="C2" s="174" t="str">
        <f>"TRAN"</f>
        <v>TRAN</v>
      </c>
      <c r="D2" s="47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65V 0.1A 0.25W SOT-23 AECQ</v>
      </c>
      <c r="E2" s="46" t="s">
        <v>324</v>
      </c>
      <c r="F2" s="46" t="s">
        <v>325</v>
      </c>
      <c r="G2" s="46" t="s">
        <v>143</v>
      </c>
      <c r="H2" s="46" t="s">
        <v>326</v>
      </c>
      <c r="I2" s="46" t="s">
        <v>352</v>
      </c>
      <c r="J2" s="46" t="s">
        <v>327</v>
      </c>
      <c r="K2" s="46" t="s">
        <v>328</v>
      </c>
      <c r="L2" s="46" t="s">
        <v>170</v>
      </c>
      <c r="M2" s="46" t="s">
        <v>11</v>
      </c>
      <c r="N2" s="46" t="s">
        <v>10</v>
      </c>
      <c r="O2" t="s">
        <v>321</v>
      </c>
      <c r="P2" s="46" t="str">
        <f>Transistors63[[#This Row],[Footprint]]</f>
        <v>SOT-23</v>
      </c>
      <c r="Q2" s="46"/>
    </row>
    <row r="3" spans="1:17" x14ac:dyDescent="0.25">
      <c r="A3" s="46">
        <f t="shared" si="0"/>
        <v>2</v>
      </c>
      <c r="B3" s="236" t="s">
        <v>323</v>
      </c>
      <c r="C3" s="174" t="str">
        <f t="shared" ref="C3:C24" si="1">"TRAN"</f>
        <v>TRAN</v>
      </c>
      <c r="D3" s="130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50V 0.1A 0.25W SOT-23 AECQ</v>
      </c>
      <c r="E3" s="46" t="s">
        <v>324</v>
      </c>
      <c r="F3" s="46" t="s">
        <v>51</v>
      </c>
      <c r="G3" s="46" t="s">
        <v>143</v>
      </c>
      <c r="H3" s="46" t="s">
        <v>326</v>
      </c>
      <c r="I3" s="46" t="s">
        <v>352</v>
      </c>
      <c r="J3" s="46" t="s">
        <v>327</v>
      </c>
      <c r="K3" s="46" t="s">
        <v>329</v>
      </c>
      <c r="L3" s="46" t="s">
        <v>170</v>
      </c>
      <c r="M3" s="46" t="s">
        <v>11</v>
      </c>
      <c r="N3" s="46" t="s">
        <v>10</v>
      </c>
      <c r="O3" t="s">
        <v>321</v>
      </c>
      <c r="P3" s="46" t="str">
        <f>Transistors63[[#This Row],[Footprint]]</f>
        <v>SOT-23</v>
      </c>
      <c r="Q3" s="46"/>
    </row>
    <row r="4" spans="1:17" x14ac:dyDescent="0.25">
      <c r="A4" s="46">
        <f t="shared" si="0"/>
        <v>3</v>
      </c>
      <c r="B4" s="236" t="s">
        <v>331</v>
      </c>
      <c r="C4" s="174" t="str">
        <f t="shared" si="1"/>
        <v>TRAN</v>
      </c>
      <c r="D4" s="130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40V 0.2A 0.225W SOT-23 AECQ</v>
      </c>
      <c r="E4" s="46" t="s">
        <v>334</v>
      </c>
      <c r="F4" s="46" t="s">
        <v>333</v>
      </c>
      <c r="G4" s="46" t="s">
        <v>142</v>
      </c>
      <c r="H4" s="46" t="s">
        <v>335</v>
      </c>
      <c r="I4" s="46" t="s">
        <v>1123</v>
      </c>
      <c r="J4" s="46" t="s">
        <v>327</v>
      </c>
      <c r="K4" s="46" t="s">
        <v>330</v>
      </c>
      <c r="L4" s="46" t="s">
        <v>222</v>
      </c>
      <c r="M4" s="46" t="s">
        <v>11</v>
      </c>
      <c r="N4" s="46" t="s">
        <v>10</v>
      </c>
      <c r="O4" t="s">
        <v>332</v>
      </c>
      <c r="P4" s="46" t="str">
        <f>Transistors63[[#This Row],[Footprint]]</f>
        <v>SOT-23</v>
      </c>
      <c r="Q4" s="46"/>
    </row>
    <row r="5" spans="1:17" x14ac:dyDescent="0.25">
      <c r="A5" s="46">
        <f t="shared" si="0"/>
        <v>4</v>
      </c>
      <c r="B5" s="236" t="s">
        <v>396</v>
      </c>
      <c r="C5" s="174" t="str">
        <f t="shared" si="1"/>
        <v>TRAN</v>
      </c>
      <c r="D5" s="130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0.31W SOT-23 AECQ</v>
      </c>
      <c r="E5" s="46" t="s">
        <v>324</v>
      </c>
      <c r="F5" s="46" t="s">
        <v>398</v>
      </c>
      <c r="G5" s="131" t="s">
        <v>1015</v>
      </c>
      <c r="H5" s="46" t="s">
        <v>335</v>
      </c>
      <c r="I5" s="46" t="s">
        <v>1124</v>
      </c>
      <c r="J5" s="46" t="s">
        <v>327</v>
      </c>
      <c r="K5" s="46" t="s">
        <v>397</v>
      </c>
      <c r="L5" s="46" t="s">
        <v>68</v>
      </c>
      <c r="M5" s="46" t="s">
        <v>11</v>
      </c>
      <c r="N5" s="46" t="s">
        <v>10</v>
      </c>
      <c r="O5" t="s">
        <v>321</v>
      </c>
      <c r="P5" s="46" t="str">
        <f>Transistors63[[#This Row],[Footprint]]</f>
        <v>SOT-23</v>
      </c>
      <c r="Q5" s="46"/>
    </row>
    <row r="6" spans="1:17" x14ac:dyDescent="0.25">
      <c r="A6" s="48">
        <f t="shared" si="0"/>
        <v>5</v>
      </c>
      <c r="B6" s="235" t="s">
        <v>1080</v>
      </c>
      <c r="C6" s="174" t="str">
        <f t="shared" si="1"/>
        <v>TRAN</v>
      </c>
      <c r="D6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80V 1A 1.5W SOT223 STD</v>
      </c>
      <c r="E6" s="46" t="s">
        <v>324</v>
      </c>
      <c r="F6" s="46" t="s">
        <v>1081</v>
      </c>
      <c r="G6" s="46" t="s">
        <v>141</v>
      </c>
      <c r="H6" s="46" t="s">
        <v>335</v>
      </c>
      <c r="I6" s="46" t="s">
        <v>1082</v>
      </c>
      <c r="J6" s="46" t="s">
        <v>1083</v>
      </c>
      <c r="K6" s="46" t="s">
        <v>1084</v>
      </c>
      <c r="L6" s="46" t="s">
        <v>222</v>
      </c>
      <c r="M6" s="46" t="s">
        <v>1561</v>
      </c>
      <c r="N6" s="46" t="s">
        <v>10</v>
      </c>
      <c r="O6" t="s">
        <v>321</v>
      </c>
      <c r="P6" s="48" t="str">
        <f>Transistors63[[#This Row],[Footprint]]</f>
        <v>SOT223</v>
      </c>
      <c r="Q6" s="46"/>
    </row>
    <row r="7" spans="1:17" x14ac:dyDescent="0.25">
      <c r="A7" s="48">
        <f t="shared" si="0"/>
        <v>6</v>
      </c>
      <c r="B7" s="235" t="s">
        <v>1080</v>
      </c>
      <c r="C7" s="174" t="str">
        <f t="shared" si="1"/>
        <v>TRAN</v>
      </c>
      <c r="D7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80V 1A 1.5W SOT223 AECQ</v>
      </c>
      <c r="E7" s="46" t="s">
        <v>324</v>
      </c>
      <c r="F7" s="46" t="s">
        <v>1081</v>
      </c>
      <c r="G7" s="46" t="s">
        <v>141</v>
      </c>
      <c r="H7" s="46" t="s">
        <v>335</v>
      </c>
      <c r="I7" s="46" t="s">
        <v>1082</v>
      </c>
      <c r="J7" s="46" t="s">
        <v>1083</v>
      </c>
      <c r="K7" s="46" t="s">
        <v>1085</v>
      </c>
      <c r="L7" s="46" t="s">
        <v>222</v>
      </c>
      <c r="M7" s="46" t="s">
        <v>11</v>
      </c>
      <c r="N7" s="46" t="s">
        <v>10</v>
      </c>
      <c r="O7" t="s">
        <v>321</v>
      </c>
      <c r="P7" s="48" t="str">
        <f>Transistors63[[#This Row],[Footprint]]</f>
        <v>SOT223</v>
      </c>
      <c r="Q7" s="46"/>
    </row>
    <row r="8" spans="1:17" x14ac:dyDescent="0.25">
      <c r="A8" s="48">
        <f t="shared" si="0"/>
        <v>7</v>
      </c>
      <c r="B8" s="235" t="s">
        <v>1086</v>
      </c>
      <c r="C8" s="174" t="str">
        <f t="shared" si="1"/>
        <v>TRAN</v>
      </c>
      <c r="D8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80V 1A 0.6W SOT223 AECQ</v>
      </c>
      <c r="E8" s="46" t="s">
        <v>324</v>
      </c>
      <c r="F8" s="46" t="s">
        <v>1081</v>
      </c>
      <c r="G8" s="46" t="s">
        <v>141</v>
      </c>
      <c r="H8" s="46" t="s">
        <v>335</v>
      </c>
      <c r="I8" s="46" t="s">
        <v>1087</v>
      </c>
      <c r="J8" s="46" t="s">
        <v>1083</v>
      </c>
      <c r="K8" s="46" t="s">
        <v>1088</v>
      </c>
      <c r="L8" s="46" t="s">
        <v>170</v>
      </c>
      <c r="M8" s="46" t="s">
        <v>11</v>
      </c>
      <c r="N8" s="46" t="s">
        <v>10</v>
      </c>
      <c r="O8" t="s">
        <v>321</v>
      </c>
      <c r="P8" s="48" t="str">
        <f>Transistors63[[#This Row],[Footprint]]</f>
        <v>SOT223</v>
      </c>
      <c r="Q8" s="46"/>
    </row>
    <row r="9" spans="1:17" x14ac:dyDescent="0.25">
      <c r="A9" s="48">
        <f t="shared" si="0"/>
        <v>8</v>
      </c>
      <c r="B9" s="235" t="s">
        <v>1089</v>
      </c>
      <c r="C9" s="174" t="str">
        <f t="shared" si="1"/>
        <v>TRAN</v>
      </c>
      <c r="D9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1A 0.5W SOT89 AECQ</v>
      </c>
      <c r="E9" s="46" t="s">
        <v>324</v>
      </c>
      <c r="F9" s="46" t="s">
        <v>398</v>
      </c>
      <c r="G9" s="46" t="s">
        <v>141</v>
      </c>
      <c r="H9" s="46" t="s">
        <v>335</v>
      </c>
      <c r="I9" s="46" t="s">
        <v>66</v>
      </c>
      <c r="J9" s="46" t="s">
        <v>1090</v>
      </c>
      <c r="K9" s="46" t="s">
        <v>1091</v>
      </c>
      <c r="L9" s="46" t="s">
        <v>170</v>
      </c>
      <c r="M9" s="46" t="s">
        <v>11</v>
      </c>
      <c r="N9" s="46" t="s">
        <v>10</v>
      </c>
      <c r="O9" t="s">
        <v>321</v>
      </c>
      <c r="P9" s="48" t="str">
        <f>Transistors63[[#This Row],[Footprint]]</f>
        <v>SOT89</v>
      </c>
      <c r="Q9" s="46"/>
    </row>
    <row r="10" spans="1:17" x14ac:dyDescent="0.25">
      <c r="A10" s="48">
        <f t="shared" si="0"/>
        <v>9</v>
      </c>
      <c r="B10" s="235" t="s">
        <v>1092</v>
      </c>
      <c r="C10" s="174" t="str">
        <f t="shared" si="1"/>
        <v>TRAN</v>
      </c>
      <c r="D10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65V 0.1A 0.25W SOT-23 AECQ</v>
      </c>
      <c r="E10" s="46" t="s">
        <v>324</v>
      </c>
      <c r="F10" s="46" t="s">
        <v>325</v>
      </c>
      <c r="G10" s="46" t="s">
        <v>143</v>
      </c>
      <c r="H10" s="46" t="s">
        <v>326</v>
      </c>
      <c r="I10" s="46" t="s">
        <v>352</v>
      </c>
      <c r="J10" s="46" t="s">
        <v>327</v>
      </c>
      <c r="K10" s="46" t="s">
        <v>1093</v>
      </c>
      <c r="L10" s="46" t="s">
        <v>170</v>
      </c>
      <c r="M10" s="46" t="s">
        <v>11</v>
      </c>
      <c r="N10" s="46" t="s">
        <v>10</v>
      </c>
      <c r="O10" t="s">
        <v>321</v>
      </c>
      <c r="P10" s="48" t="str">
        <f>Transistors63[[#This Row],[Footprint]]</f>
        <v>SOT-23</v>
      </c>
      <c r="Q10" s="46"/>
    </row>
    <row r="11" spans="1:17" x14ac:dyDescent="0.25">
      <c r="A11" s="48">
        <f t="shared" si="0"/>
        <v>10</v>
      </c>
      <c r="B11" s="235" t="s">
        <v>1092</v>
      </c>
      <c r="C11" s="174" t="str">
        <f t="shared" si="1"/>
        <v>TRAN</v>
      </c>
      <c r="D11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65V 0.1A 0.25W SOT-23 STD</v>
      </c>
      <c r="E11" s="46" t="s">
        <v>324</v>
      </c>
      <c r="F11" s="46" t="s">
        <v>325</v>
      </c>
      <c r="G11" s="46" t="s">
        <v>143</v>
      </c>
      <c r="H11" s="46" t="s">
        <v>326</v>
      </c>
      <c r="I11" s="46" t="s">
        <v>352</v>
      </c>
      <c r="J11" s="46" t="s">
        <v>327</v>
      </c>
      <c r="K11" s="46" t="s">
        <v>1094</v>
      </c>
      <c r="L11" s="46" t="s">
        <v>170</v>
      </c>
      <c r="M11" s="46" t="s">
        <v>1561</v>
      </c>
      <c r="N11" s="46" t="s">
        <v>10</v>
      </c>
      <c r="O11" t="s">
        <v>321</v>
      </c>
      <c r="P11" s="48" t="str">
        <f>Transistors63[[#This Row],[Footprint]]</f>
        <v>SOT-23</v>
      </c>
      <c r="Q11" s="46"/>
    </row>
    <row r="12" spans="1:17" x14ac:dyDescent="0.25">
      <c r="A12" s="48">
        <f t="shared" si="0"/>
        <v>11</v>
      </c>
      <c r="B12" s="235" t="s">
        <v>1095</v>
      </c>
      <c r="C12" s="174" t="str">
        <f t="shared" si="1"/>
        <v>TRAN</v>
      </c>
      <c r="D12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1A 0.5W SOT89 AECQ</v>
      </c>
      <c r="E12" s="46" t="s">
        <v>324</v>
      </c>
      <c r="F12" s="46" t="s">
        <v>398</v>
      </c>
      <c r="G12" s="46" t="s">
        <v>141</v>
      </c>
      <c r="H12" s="46" t="s">
        <v>335</v>
      </c>
      <c r="I12" s="46" t="s">
        <v>66</v>
      </c>
      <c r="J12" s="46" t="s">
        <v>1090</v>
      </c>
      <c r="K12" s="46" t="s">
        <v>1096</v>
      </c>
      <c r="L12" s="46" t="s">
        <v>170</v>
      </c>
      <c r="M12" s="46" t="s">
        <v>11</v>
      </c>
      <c r="N12" s="46" t="s">
        <v>10</v>
      </c>
      <c r="O12" t="s">
        <v>321</v>
      </c>
      <c r="P12" s="48" t="str">
        <f>Transistors63[[#This Row],[Footprint]]</f>
        <v>SOT89</v>
      </c>
      <c r="Q12" s="46"/>
    </row>
    <row r="13" spans="1:17" x14ac:dyDescent="0.25">
      <c r="A13" s="48">
        <f t="shared" si="0"/>
        <v>12</v>
      </c>
      <c r="B13" s="235" t="s">
        <v>1097</v>
      </c>
      <c r="C13" s="174" t="str">
        <f t="shared" si="1"/>
        <v>TRAN</v>
      </c>
      <c r="D13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50V 0.1A 0.187W SOT−363 AECQ</v>
      </c>
      <c r="E13" s="46" t="s">
        <v>334</v>
      </c>
      <c r="F13" s="46" t="s">
        <v>51</v>
      </c>
      <c r="G13" s="46" t="s">
        <v>143</v>
      </c>
      <c r="H13" s="46" t="s">
        <v>326</v>
      </c>
      <c r="I13" s="46" t="s">
        <v>1125</v>
      </c>
      <c r="J13" s="46" t="s">
        <v>1098</v>
      </c>
      <c r="K13" s="46" t="s">
        <v>1099</v>
      </c>
      <c r="L13" s="46" t="s">
        <v>222</v>
      </c>
      <c r="M13" s="46" t="s">
        <v>11</v>
      </c>
      <c r="N13" s="46" t="s">
        <v>10</v>
      </c>
      <c r="O13" t="s">
        <v>332</v>
      </c>
      <c r="P13" s="48" t="str">
        <f>Transistors63[[#This Row],[Footprint]]</f>
        <v>SOT−363</v>
      </c>
      <c r="Q13" s="46"/>
    </row>
    <row r="14" spans="1:17" x14ac:dyDescent="0.25">
      <c r="A14" s="48">
        <f t="shared" si="0"/>
        <v>13</v>
      </c>
      <c r="B14" s="235" t="s">
        <v>1100</v>
      </c>
      <c r="C14" s="174" t="str">
        <f t="shared" si="1"/>
        <v>TRAN</v>
      </c>
      <c r="D14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80V 0.5A 0.46W SC-70 AECQ</v>
      </c>
      <c r="E14" s="46" t="s">
        <v>324</v>
      </c>
      <c r="F14" s="46" t="s">
        <v>1081</v>
      </c>
      <c r="G14" s="46" t="s">
        <v>1015</v>
      </c>
      <c r="H14" s="46" t="s">
        <v>1101</v>
      </c>
      <c r="I14" s="46" t="s">
        <v>1126</v>
      </c>
      <c r="J14" s="46" t="s">
        <v>1102</v>
      </c>
      <c r="K14" s="46" t="s">
        <v>1103</v>
      </c>
      <c r="L14" s="46" t="s">
        <v>222</v>
      </c>
      <c r="M14" s="46" t="s">
        <v>11</v>
      </c>
      <c r="N14" s="46" t="s">
        <v>10</v>
      </c>
      <c r="O14" t="s">
        <v>321</v>
      </c>
      <c r="P14" s="48" t="str">
        <f>Transistors63[[#This Row],[Footprint]]</f>
        <v>SC-70</v>
      </c>
      <c r="Q14" s="46"/>
    </row>
    <row r="15" spans="1:17" x14ac:dyDescent="0.25">
      <c r="A15" s="48">
        <f t="shared" si="0"/>
        <v>14</v>
      </c>
      <c r="B15" s="235" t="s">
        <v>1104</v>
      </c>
      <c r="C15" s="174" t="str">
        <f t="shared" si="1"/>
        <v>TRAN</v>
      </c>
      <c r="D15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50V 0.1A 0.2W SOT−363 AECQ</v>
      </c>
      <c r="E15" s="46" t="s">
        <v>324</v>
      </c>
      <c r="F15" s="46" t="s">
        <v>51</v>
      </c>
      <c r="G15" s="46" t="s">
        <v>143</v>
      </c>
      <c r="H15" s="46" t="s">
        <v>335</v>
      </c>
      <c r="I15" s="46" t="s">
        <v>1127</v>
      </c>
      <c r="J15" s="46" t="s">
        <v>1098</v>
      </c>
      <c r="K15" s="46" t="s">
        <v>1105</v>
      </c>
      <c r="L15" s="46" t="s">
        <v>68</v>
      </c>
      <c r="M15" s="46" t="s">
        <v>11</v>
      </c>
      <c r="N15" s="46" t="s">
        <v>10</v>
      </c>
      <c r="O15" t="s">
        <v>321</v>
      </c>
      <c r="P15" s="48" t="str">
        <f>Transistors63[[#This Row],[Footprint]]</f>
        <v>SOT−363</v>
      </c>
      <c r="Q15" s="46"/>
    </row>
    <row r="16" spans="1:17" x14ac:dyDescent="0.25">
      <c r="A16" s="48">
        <f t="shared" si="0"/>
        <v>15</v>
      </c>
      <c r="B16" s="235" t="s">
        <v>1106</v>
      </c>
      <c r="C16" s="174" t="str">
        <f t="shared" si="1"/>
        <v>TRAN</v>
      </c>
      <c r="D16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50V 0.1A 0.202W SOT-23 AECQ</v>
      </c>
      <c r="E16" s="46" t="s">
        <v>334</v>
      </c>
      <c r="F16" s="46" t="s">
        <v>51</v>
      </c>
      <c r="G16" s="46" t="s">
        <v>143</v>
      </c>
      <c r="H16" s="46" t="s">
        <v>326</v>
      </c>
      <c r="I16" s="46" t="s">
        <v>1128</v>
      </c>
      <c r="J16" s="46" t="s">
        <v>327</v>
      </c>
      <c r="K16" s="46" t="s">
        <v>1107</v>
      </c>
      <c r="L16" s="46" t="s">
        <v>222</v>
      </c>
      <c r="M16" s="46" t="s">
        <v>11</v>
      </c>
      <c r="N16" s="46" t="s">
        <v>10</v>
      </c>
      <c r="O16" t="s">
        <v>332</v>
      </c>
      <c r="P16" s="48" t="str">
        <f>Transistors63[[#This Row],[Footprint]]</f>
        <v>SOT-23</v>
      </c>
      <c r="Q16" s="46"/>
    </row>
    <row r="17" spans="1:17" x14ac:dyDescent="0.25">
      <c r="A17" s="48">
        <f t="shared" si="0"/>
        <v>16</v>
      </c>
      <c r="B17" s="235" t="s">
        <v>1106</v>
      </c>
      <c r="C17" s="174" t="str">
        <f t="shared" si="1"/>
        <v>TRAN</v>
      </c>
      <c r="D17" s="104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50V 0.1A 0.23W SOT-23 AECQ</v>
      </c>
      <c r="E17" s="81" t="s">
        <v>334</v>
      </c>
      <c r="F17" s="81" t="s">
        <v>51</v>
      </c>
      <c r="G17" s="81" t="s">
        <v>143</v>
      </c>
      <c r="H17" s="81" t="s">
        <v>1131</v>
      </c>
      <c r="I17" s="81" t="s">
        <v>1130</v>
      </c>
      <c r="J17" s="81" t="s">
        <v>327</v>
      </c>
      <c r="K17" s="81" t="s">
        <v>1121</v>
      </c>
      <c r="L17" s="46" t="s">
        <v>222</v>
      </c>
      <c r="M17" s="46" t="s">
        <v>11</v>
      </c>
      <c r="N17" s="46" t="s">
        <v>10</v>
      </c>
      <c r="O17" t="s">
        <v>332</v>
      </c>
      <c r="P17" s="48" t="str">
        <f>Transistors63[[#This Row],[Footprint]]</f>
        <v>SOT-23</v>
      </c>
      <c r="Q17" s="46" t="s">
        <v>1122</v>
      </c>
    </row>
    <row r="18" spans="1:17" x14ac:dyDescent="0.25">
      <c r="A18" s="48">
        <f t="shared" si="0"/>
        <v>17</v>
      </c>
      <c r="B18" s="235" t="s">
        <v>1108</v>
      </c>
      <c r="C18" s="174" t="str">
        <f t="shared" si="1"/>
        <v>TRAN</v>
      </c>
      <c r="D18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60V 1A 0.65W SOT223 AECQ</v>
      </c>
      <c r="E18" s="46" t="s">
        <v>334</v>
      </c>
      <c r="F18" s="46" t="s">
        <v>168</v>
      </c>
      <c r="G18" s="46" t="s">
        <v>141</v>
      </c>
      <c r="H18" s="46" t="s">
        <v>335</v>
      </c>
      <c r="I18" s="46" t="s">
        <v>1129</v>
      </c>
      <c r="J18" s="46" t="s">
        <v>1083</v>
      </c>
      <c r="K18" s="46" t="s">
        <v>1109</v>
      </c>
      <c r="L18" s="46" t="s">
        <v>170</v>
      </c>
      <c r="M18" s="46" t="s">
        <v>11</v>
      </c>
      <c r="N18" s="46" t="s">
        <v>10</v>
      </c>
      <c r="O18" t="s">
        <v>332</v>
      </c>
      <c r="P18" s="48" t="str">
        <f>Transistors63[[#This Row],[Footprint]]</f>
        <v>SOT223</v>
      </c>
      <c r="Q18" s="46"/>
    </row>
    <row r="19" spans="1:17" x14ac:dyDescent="0.25">
      <c r="A19" s="48">
        <f t="shared" si="0"/>
        <v>18</v>
      </c>
      <c r="B19" s="235" t="s">
        <v>1110</v>
      </c>
      <c r="C19" s="174" t="str">
        <f t="shared" si="1"/>
        <v>TRAN</v>
      </c>
      <c r="D19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NPN&amp;PNP 50V 0.1A 0.25W SOT−363 AECQ</v>
      </c>
      <c r="E19" s="46" t="s">
        <v>1111</v>
      </c>
      <c r="F19" s="46" t="s">
        <v>51</v>
      </c>
      <c r="G19" s="46" t="s">
        <v>143</v>
      </c>
      <c r="H19" s="46" t="s">
        <v>326</v>
      </c>
      <c r="I19" s="46" t="s">
        <v>352</v>
      </c>
      <c r="J19" s="46" t="s">
        <v>1098</v>
      </c>
      <c r="K19" s="46" t="s">
        <v>1112</v>
      </c>
      <c r="L19" s="46" t="s">
        <v>317</v>
      </c>
      <c r="M19" s="46" t="s">
        <v>11</v>
      </c>
      <c r="N19" s="46" t="s">
        <v>10</v>
      </c>
      <c r="P19" s="48" t="str">
        <f>Transistors63[[#This Row],[Footprint]]</f>
        <v>SOT−363</v>
      </c>
      <c r="Q19" s="46"/>
    </row>
    <row r="20" spans="1:17" x14ac:dyDescent="0.25">
      <c r="A20" s="48">
        <f t="shared" si="0"/>
        <v>19</v>
      </c>
      <c r="B20" s="235" t="s">
        <v>1113</v>
      </c>
      <c r="C20" s="174" t="str">
        <f t="shared" si="1"/>
        <v>TRAN</v>
      </c>
      <c r="D20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0.46W SC-70 STD</v>
      </c>
      <c r="E20" s="46" t="s">
        <v>324</v>
      </c>
      <c r="F20" s="46" t="s">
        <v>398</v>
      </c>
      <c r="G20" s="46" t="s">
        <v>1015</v>
      </c>
      <c r="H20" s="46" t="s">
        <v>335</v>
      </c>
      <c r="I20" s="46" t="s">
        <v>1126</v>
      </c>
      <c r="J20" s="46" t="s">
        <v>1102</v>
      </c>
      <c r="K20" s="46" t="s">
        <v>1114</v>
      </c>
      <c r="L20" s="46" t="s">
        <v>222</v>
      </c>
      <c r="M20" s="46" t="s">
        <v>1561</v>
      </c>
      <c r="N20" s="46" t="s">
        <v>10</v>
      </c>
      <c r="O20" t="s">
        <v>321</v>
      </c>
      <c r="P20" s="48" t="str">
        <f>Transistors63[[#This Row],[Footprint]]</f>
        <v>SC-70</v>
      </c>
      <c r="Q20" s="46"/>
    </row>
    <row r="21" spans="1:17" x14ac:dyDescent="0.25">
      <c r="A21" s="48">
        <f t="shared" si="0"/>
        <v>20</v>
      </c>
      <c r="B21" s="235" t="s">
        <v>1113</v>
      </c>
      <c r="C21" s="174" t="str">
        <f t="shared" si="1"/>
        <v>TRAN</v>
      </c>
      <c r="D21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0.2W SC-70 STD</v>
      </c>
      <c r="E21" s="46" t="s">
        <v>324</v>
      </c>
      <c r="F21" s="46" t="s">
        <v>398</v>
      </c>
      <c r="G21" s="46" t="s">
        <v>1015</v>
      </c>
      <c r="H21" s="46" t="s">
        <v>335</v>
      </c>
      <c r="I21" s="46" t="s">
        <v>1127</v>
      </c>
      <c r="J21" s="46" t="s">
        <v>1102</v>
      </c>
      <c r="K21" s="46" t="s">
        <v>1115</v>
      </c>
      <c r="L21" s="46" t="s">
        <v>170</v>
      </c>
      <c r="M21" s="46" t="s">
        <v>1561</v>
      </c>
      <c r="N21" s="46" t="s">
        <v>10</v>
      </c>
      <c r="O21" t="s">
        <v>321</v>
      </c>
      <c r="P21" s="48" t="str">
        <f>Transistors63[[#This Row],[Footprint]]</f>
        <v>SC-70</v>
      </c>
      <c r="Q21" s="46"/>
    </row>
    <row r="22" spans="1:17" x14ac:dyDescent="0.25">
      <c r="A22" s="48">
        <f t="shared" si="0"/>
        <v>21</v>
      </c>
      <c r="B22" s="235" t="s">
        <v>1116</v>
      </c>
      <c r="C22" s="174" t="str">
        <f t="shared" si="1"/>
        <v>TRAN</v>
      </c>
      <c r="D22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45V 0.5A 0.25W SOT-23 STD</v>
      </c>
      <c r="E22" s="46" t="s">
        <v>334</v>
      </c>
      <c r="F22" s="46" t="s">
        <v>398</v>
      </c>
      <c r="G22" s="46" t="s">
        <v>1015</v>
      </c>
      <c r="H22" s="46" t="s">
        <v>335</v>
      </c>
      <c r="I22" s="46" t="s">
        <v>352</v>
      </c>
      <c r="J22" s="46" t="s">
        <v>327</v>
      </c>
      <c r="K22" s="46" t="s">
        <v>1117</v>
      </c>
      <c r="L22" s="46" t="s">
        <v>170</v>
      </c>
      <c r="M22" s="46" t="s">
        <v>1561</v>
      </c>
      <c r="N22" s="46" t="s">
        <v>10</v>
      </c>
      <c r="O22" t="s">
        <v>332</v>
      </c>
      <c r="P22" s="48" t="str">
        <f>Transistors63[[#This Row],[Footprint]]</f>
        <v>SOT-23</v>
      </c>
      <c r="Q22" s="46"/>
    </row>
    <row r="23" spans="1:17" x14ac:dyDescent="0.25">
      <c r="A23" s="48">
        <f t="shared" si="0"/>
        <v>22</v>
      </c>
      <c r="B23" s="235" t="s">
        <v>1116</v>
      </c>
      <c r="C23" s="174" t="str">
        <f t="shared" si="1"/>
        <v>TRAN</v>
      </c>
      <c r="D23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45V 0.5A 0.25W SOT-23 AECQ</v>
      </c>
      <c r="E23" s="46" t="s">
        <v>334</v>
      </c>
      <c r="F23" s="46" t="s">
        <v>398</v>
      </c>
      <c r="G23" s="46" t="s">
        <v>1015</v>
      </c>
      <c r="H23" s="46" t="s">
        <v>335</v>
      </c>
      <c r="I23" s="46" t="s">
        <v>352</v>
      </c>
      <c r="J23" s="46" t="s">
        <v>327</v>
      </c>
      <c r="K23" s="46" t="s">
        <v>1118</v>
      </c>
      <c r="L23" s="46" t="s">
        <v>170</v>
      </c>
      <c r="M23" s="46" t="s">
        <v>11</v>
      </c>
      <c r="N23" s="46" t="s">
        <v>10</v>
      </c>
      <c r="O23" t="s">
        <v>332</v>
      </c>
      <c r="P23" s="48" t="str">
        <f>Transistors63[[#This Row],[Footprint]]</f>
        <v>SOT-23</v>
      </c>
      <c r="Q23" s="46"/>
    </row>
    <row r="24" spans="1:17" x14ac:dyDescent="0.25">
      <c r="A24" s="48">
        <f t="shared" si="0"/>
        <v>23</v>
      </c>
      <c r="B24" s="47" t="s">
        <v>1119</v>
      </c>
      <c r="C24" s="174" t="str">
        <f t="shared" si="1"/>
        <v>TRAN</v>
      </c>
      <c r="D24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NPN&amp;PNP 50V 0.07A 0.2W SOT−363 AECQ</v>
      </c>
      <c r="E24" s="46" t="s">
        <v>1111</v>
      </c>
      <c r="F24" s="46" t="s">
        <v>51</v>
      </c>
      <c r="G24" s="46" t="s">
        <v>1132</v>
      </c>
      <c r="H24" s="46" t="s">
        <v>335</v>
      </c>
      <c r="I24" s="46" t="s">
        <v>1127</v>
      </c>
      <c r="J24" s="46" t="s">
        <v>1098</v>
      </c>
      <c r="K24" s="46" t="s">
        <v>1120</v>
      </c>
      <c r="L24" s="46" t="s">
        <v>68</v>
      </c>
      <c r="M24" s="46" t="s">
        <v>11</v>
      </c>
      <c r="N24" s="46" t="s">
        <v>10</v>
      </c>
      <c r="P24" s="48" t="str">
        <f>Transistors63[[#This Row],[Footprint]]</f>
        <v>SOT−363</v>
      </c>
      <c r="Q24" s="46"/>
    </row>
    <row r="25" spans="1:17" x14ac:dyDescent="0.25">
      <c r="A25" s="48">
        <f>ROW()-1</f>
        <v>24</v>
      </c>
      <c r="B25" s="235" t="s">
        <v>1602</v>
      </c>
      <c r="C25" s="48" t="str">
        <f>"TRAN"</f>
        <v>TRAN</v>
      </c>
      <c r="D25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80V 1A 0.5W SOT89 STD</v>
      </c>
      <c r="E25" s="174" t="s">
        <v>324</v>
      </c>
      <c r="F25" s="174" t="s">
        <v>1081</v>
      </c>
      <c r="G25" s="174" t="s">
        <v>141</v>
      </c>
      <c r="H25" s="174" t="s">
        <v>335</v>
      </c>
      <c r="I25" s="174" t="s">
        <v>66</v>
      </c>
      <c r="J25" s="174" t="s">
        <v>1090</v>
      </c>
      <c r="K25" s="174" t="s">
        <v>1603</v>
      </c>
      <c r="L25" s="174" t="s">
        <v>170</v>
      </c>
      <c r="M25" s="174" t="s">
        <v>1561</v>
      </c>
      <c r="N25" s="174" t="s">
        <v>10</v>
      </c>
      <c r="O25" t="s">
        <v>321</v>
      </c>
      <c r="P25" s="48" t="str">
        <f>Transistors63[[#This Row],[Footprint]]</f>
        <v>SOT89</v>
      </c>
      <c r="Q25" s="174"/>
    </row>
    <row r="26" spans="1:17" x14ac:dyDescent="0.25">
      <c r="A26" s="48">
        <f>ROW()-1</f>
        <v>25</v>
      </c>
      <c r="B26" s="235" t="s">
        <v>1602</v>
      </c>
      <c r="C26" s="48" t="str">
        <f>"TRAN"</f>
        <v>TRAN</v>
      </c>
      <c r="D26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80V 1A 0.5W SOT89 STD</v>
      </c>
      <c r="E26" s="174" t="s">
        <v>324</v>
      </c>
      <c r="F26" s="174" t="s">
        <v>1081</v>
      </c>
      <c r="G26" s="174" t="s">
        <v>141</v>
      </c>
      <c r="H26" s="174" t="s">
        <v>335</v>
      </c>
      <c r="I26" s="174" t="s">
        <v>66</v>
      </c>
      <c r="J26" s="174" t="s">
        <v>1090</v>
      </c>
      <c r="K26" s="174" t="s">
        <v>1604</v>
      </c>
      <c r="L26" s="174" t="s">
        <v>170</v>
      </c>
      <c r="M26" s="174" t="s">
        <v>1561</v>
      </c>
      <c r="N26" s="174" t="s">
        <v>10</v>
      </c>
      <c r="O26" t="s">
        <v>321</v>
      </c>
      <c r="P26" s="48" t="str">
        <f>Transistors63[[#This Row],[Footprint]]</f>
        <v>SOT89</v>
      </c>
      <c r="Q26" s="174"/>
    </row>
    <row r="27" spans="1:17" x14ac:dyDescent="0.25">
      <c r="A27" s="48">
        <f>ROW()-1</f>
        <v>26</v>
      </c>
      <c r="B27" s="235" t="s">
        <v>1602</v>
      </c>
      <c r="C27" s="48" t="str">
        <f>"TRAN"</f>
        <v>TRAN</v>
      </c>
      <c r="D27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80V 1A 0.5W SOT89 STD</v>
      </c>
      <c r="E27" s="174" t="s">
        <v>324</v>
      </c>
      <c r="F27" s="174" t="s">
        <v>1081</v>
      </c>
      <c r="G27" s="174" t="s">
        <v>141</v>
      </c>
      <c r="H27" s="174" t="s">
        <v>335</v>
      </c>
      <c r="I27" s="174" t="s">
        <v>66</v>
      </c>
      <c r="J27" s="174" t="s">
        <v>1090</v>
      </c>
      <c r="K27" s="174" t="s">
        <v>1605</v>
      </c>
      <c r="L27" s="174" t="s">
        <v>170</v>
      </c>
      <c r="M27" s="174" t="s">
        <v>1561</v>
      </c>
      <c r="N27" s="174" t="s">
        <v>10</v>
      </c>
      <c r="O27" t="s">
        <v>321</v>
      </c>
      <c r="P27" s="48" t="str">
        <f>Transistors63[[#This Row],[Footprint]]</f>
        <v>SOT89</v>
      </c>
      <c r="Q27" s="174"/>
    </row>
    <row r="28" spans="1:17" x14ac:dyDescent="0.25">
      <c r="A28" s="48">
        <f>ROW()-1</f>
        <v>27</v>
      </c>
      <c r="B28" s="235" t="s">
        <v>1606</v>
      </c>
      <c r="C28" s="48" t="str">
        <f>"TRAN"</f>
        <v>TRAN</v>
      </c>
      <c r="D28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0.25W SOT-23 STD</v>
      </c>
      <c r="E28" s="174" t="s">
        <v>324</v>
      </c>
      <c r="F28" s="174" t="s">
        <v>398</v>
      </c>
      <c r="G28" s="174" t="s">
        <v>1015</v>
      </c>
      <c r="H28" s="174" t="s">
        <v>335</v>
      </c>
      <c r="I28" s="174" t="s">
        <v>352</v>
      </c>
      <c r="J28" s="174" t="s">
        <v>327</v>
      </c>
      <c r="K28" s="174" t="s">
        <v>1607</v>
      </c>
      <c r="L28" s="174" t="s">
        <v>170</v>
      </c>
      <c r="M28" s="174" t="s">
        <v>1561</v>
      </c>
      <c r="N28" s="174" t="s">
        <v>10</v>
      </c>
      <c r="O28" t="s">
        <v>321</v>
      </c>
      <c r="P28" s="48" t="str">
        <f>Transistors63[[#This Row],[Footprint]]</f>
        <v>SOT-23</v>
      </c>
      <c r="Q28" s="174"/>
    </row>
    <row r="29" spans="1:17" x14ac:dyDescent="0.25">
      <c r="A29" s="48">
        <f t="shared" ref="A29:A30" si="2">ROW()-1</f>
        <v>28</v>
      </c>
      <c r="B29" s="235" t="s">
        <v>1606</v>
      </c>
      <c r="C29" s="48" t="str">
        <f t="shared" ref="C29:C30" si="3">"TRAN"</f>
        <v>TRAN</v>
      </c>
      <c r="D29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0.25W SOT-23 AECQ</v>
      </c>
      <c r="E29" s="174" t="s">
        <v>324</v>
      </c>
      <c r="F29" s="174" t="s">
        <v>398</v>
      </c>
      <c r="G29" s="174" t="s">
        <v>1015</v>
      </c>
      <c r="H29" s="174" t="s">
        <v>335</v>
      </c>
      <c r="I29" s="174" t="s">
        <v>352</v>
      </c>
      <c r="J29" s="174" t="s">
        <v>327</v>
      </c>
      <c r="K29" s="174" t="s">
        <v>1608</v>
      </c>
      <c r="L29" s="174" t="s">
        <v>170</v>
      </c>
      <c r="M29" s="174" t="s">
        <v>11</v>
      </c>
      <c r="N29" s="174" t="s">
        <v>10</v>
      </c>
      <c r="O29" t="s">
        <v>321</v>
      </c>
      <c r="P29" s="48" t="str">
        <f>Transistors63[[#This Row],[Footprint]]</f>
        <v>SOT-23</v>
      </c>
      <c r="Q29" s="174"/>
    </row>
    <row r="30" spans="1:17" x14ac:dyDescent="0.25">
      <c r="A30" s="48">
        <f t="shared" si="2"/>
        <v>29</v>
      </c>
      <c r="B30" s="235" t="s">
        <v>1606</v>
      </c>
      <c r="C30" s="48" t="str">
        <f t="shared" si="3"/>
        <v>TRAN</v>
      </c>
      <c r="D30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0.25W SOT-23 STD</v>
      </c>
      <c r="E30" s="174" t="s">
        <v>324</v>
      </c>
      <c r="F30" s="174" t="s">
        <v>398</v>
      </c>
      <c r="G30" s="174" t="s">
        <v>1015</v>
      </c>
      <c r="H30" s="174" t="s">
        <v>335</v>
      </c>
      <c r="I30" s="174" t="s">
        <v>352</v>
      </c>
      <c r="J30" s="174" t="s">
        <v>327</v>
      </c>
      <c r="K30" s="174" t="s">
        <v>1609</v>
      </c>
      <c r="L30" s="174" t="s">
        <v>170</v>
      </c>
      <c r="M30" s="174" t="s">
        <v>1561</v>
      </c>
      <c r="N30" s="174" t="s">
        <v>10</v>
      </c>
      <c r="O30" t="s">
        <v>321</v>
      </c>
      <c r="P30" s="48" t="str">
        <f>Transistors63[[#This Row],[Footprint]]</f>
        <v>SOT-23</v>
      </c>
      <c r="Q30" s="174"/>
    </row>
    <row r="31" spans="1:17" x14ac:dyDescent="0.25">
      <c r="A31" s="48">
        <f>ROW()-1</f>
        <v>30</v>
      </c>
      <c r="B31" s="235" t="s">
        <v>1606</v>
      </c>
      <c r="C31" s="48" t="str">
        <f>"TRAN"</f>
        <v>TRAN</v>
      </c>
      <c r="D31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0.25W SOT-23 STD</v>
      </c>
      <c r="E31" s="174" t="s">
        <v>324</v>
      </c>
      <c r="F31" s="174" t="s">
        <v>398</v>
      </c>
      <c r="G31" s="174" t="s">
        <v>1015</v>
      </c>
      <c r="H31" s="174" t="s">
        <v>335</v>
      </c>
      <c r="I31" s="174" t="s">
        <v>352</v>
      </c>
      <c r="J31" s="174" t="s">
        <v>327</v>
      </c>
      <c r="K31" s="174" t="s">
        <v>1610</v>
      </c>
      <c r="L31" s="174" t="s">
        <v>170</v>
      </c>
      <c r="M31" s="174" t="s">
        <v>1561</v>
      </c>
      <c r="N31" s="174" t="s">
        <v>10</v>
      </c>
      <c r="O31" t="s">
        <v>321</v>
      </c>
      <c r="P31" s="48" t="str">
        <f>Transistors63[[#This Row],[Footprint]]</f>
        <v>SOT-23</v>
      </c>
      <c r="Q31" s="174"/>
    </row>
    <row r="32" spans="1:17" x14ac:dyDescent="0.25">
      <c r="A32" s="48">
        <f>ROW()-1</f>
        <v>31</v>
      </c>
      <c r="B32" s="235" t="s">
        <v>1606</v>
      </c>
      <c r="C32" s="48" t="str">
        <f>"TRAN"</f>
        <v>TRAN</v>
      </c>
      <c r="D32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0.25W SOT-23 STD</v>
      </c>
      <c r="E32" s="174" t="s">
        <v>324</v>
      </c>
      <c r="F32" s="174" t="s">
        <v>398</v>
      </c>
      <c r="G32" s="174" t="s">
        <v>1015</v>
      </c>
      <c r="H32" s="174" t="s">
        <v>335</v>
      </c>
      <c r="I32" s="174" t="s">
        <v>352</v>
      </c>
      <c r="J32" s="174" t="s">
        <v>327</v>
      </c>
      <c r="K32" s="174" t="s">
        <v>1609</v>
      </c>
      <c r="L32" s="174" t="s">
        <v>170</v>
      </c>
      <c r="M32" s="174" t="s">
        <v>1561</v>
      </c>
      <c r="N32" s="174" t="s">
        <v>10</v>
      </c>
      <c r="O32" t="s">
        <v>321</v>
      </c>
      <c r="P32" s="48" t="str">
        <f>Transistors63[[#This Row],[Footprint]]</f>
        <v>SOT-23</v>
      </c>
      <c r="Q32" s="174"/>
    </row>
    <row r="33" spans="1:17" x14ac:dyDescent="0.25">
      <c r="A33" s="48">
        <f t="shared" ref="A33:A34" si="4">ROW()-1</f>
        <v>32</v>
      </c>
      <c r="B33" s="235" t="s">
        <v>1611</v>
      </c>
      <c r="C33" s="48" t="str">
        <f t="shared" ref="C33:C34" si="5">"TRAN"</f>
        <v>TRAN</v>
      </c>
      <c r="D33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NPN&amp;PNP 60V 0.6A 0.25W SOT−363 AECQ</v>
      </c>
      <c r="E33" s="174" t="s">
        <v>1111</v>
      </c>
      <c r="F33" s="174" t="s">
        <v>168</v>
      </c>
      <c r="G33" s="174" t="s">
        <v>144</v>
      </c>
      <c r="H33" s="174" t="s">
        <v>335</v>
      </c>
      <c r="I33" s="174" t="s">
        <v>352</v>
      </c>
      <c r="J33" s="174" t="s">
        <v>1098</v>
      </c>
      <c r="K33" s="174" t="s">
        <v>1613</v>
      </c>
      <c r="L33" s="174" t="s">
        <v>170</v>
      </c>
      <c r="M33" s="174" t="s">
        <v>11</v>
      </c>
      <c r="N33" s="174" t="s">
        <v>10</v>
      </c>
      <c r="P33" s="48" t="str">
        <f>Transistors63[[#This Row],[Footprint]]</f>
        <v>SOT−363</v>
      </c>
      <c r="Q33" s="174"/>
    </row>
    <row r="34" spans="1:17" x14ac:dyDescent="0.25">
      <c r="A34" s="48">
        <f t="shared" si="4"/>
        <v>33</v>
      </c>
      <c r="B34" s="235" t="s">
        <v>1612</v>
      </c>
      <c r="C34" s="48" t="str">
        <f t="shared" si="5"/>
        <v>TRAN</v>
      </c>
      <c r="D34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NPN&amp;PNP 45V 0.5A 0.37W SOT−363 STD</v>
      </c>
      <c r="E34" s="174" t="s">
        <v>1111</v>
      </c>
      <c r="F34" s="174" t="s">
        <v>398</v>
      </c>
      <c r="G34" s="174" t="s">
        <v>1015</v>
      </c>
      <c r="H34" s="174" t="s">
        <v>335</v>
      </c>
      <c r="I34" s="174" t="s">
        <v>1615</v>
      </c>
      <c r="J34" s="174" t="s">
        <v>1098</v>
      </c>
      <c r="K34" s="174" t="s">
        <v>1614</v>
      </c>
      <c r="L34" s="174" t="s">
        <v>170</v>
      </c>
      <c r="M34" s="174" t="s">
        <v>1561</v>
      </c>
      <c r="N34" s="174" t="s">
        <v>10</v>
      </c>
      <c r="P34" s="48" t="str">
        <f>Transistors63[[#This Row],[Footprint]]</f>
        <v>SOT−363</v>
      </c>
      <c r="Q34" s="174"/>
    </row>
    <row r="35" spans="1:17" x14ac:dyDescent="0.25">
      <c r="A35" s="48">
        <f>ROW()-1</f>
        <v>34</v>
      </c>
      <c r="B35" s="235" t="s">
        <v>1657</v>
      </c>
      <c r="C35" s="48" t="str">
        <f>"TRAN"</f>
        <v>TRAN</v>
      </c>
      <c r="D35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0.31W SOT-23 AECQ</v>
      </c>
      <c r="E35" s="174" t="s">
        <v>324</v>
      </c>
      <c r="F35" s="174" t="s">
        <v>398</v>
      </c>
      <c r="G35" s="174" t="s">
        <v>1015</v>
      </c>
      <c r="H35" s="174" t="s">
        <v>335</v>
      </c>
      <c r="I35" s="174" t="s">
        <v>1124</v>
      </c>
      <c r="J35" s="174" t="s">
        <v>327</v>
      </c>
      <c r="K35" s="174" t="s">
        <v>1644</v>
      </c>
      <c r="L35" s="174" t="s">
        <v>68</v>
      </c>
      <c r="M35" s="174" t="s">
        <v>11</v>
      </c>
      <c r="N35" s="174" t="s">
        <v>10</v>
      </c>
      <c r="O35" t="s">
        <v>321</v>
      </c>
      <c r="P35" s="48" t="str">
        <f>Transistors63[[#This Row],[Footprint]]</f>
        <v>SOT-23</v>
      </c>
      <c r="Q35" s="174"/>
    </row>
    <row r="36" spans="1:17" x14ac:dyDescent="0.25">
      <c r="A36" s="48">
        <f>ROW()-1</f>
        <v>35</v>
      </c>
      <c r="B36" s="235" t="s">
        <v>1654</v>
      </c>
      <c r="C36" s="48" t="str">
        <f>"TRAN"</f>
        <v>TRAN</v>
      </c>
      <c r="D36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60V 0.6A 0.31W SOT-23 AECQ</v>
      </c>
      <c r="E36" s="174" t="s">
        <v>334</v>
      </c>
      <c r="F36" s="174" t="s">
        <v>168</v>
      </c>
      <c r="G36" s="174" t="s">
        <v>144</v>
      </c>
      <c r="H36" s="174" t="s">
        <v>326</v>
      </c>
      <c r="I36" s="174" t="s">
        <v>1124</v>
      </c>
      <c r="J36" s="174" t="s">
        <v>327</v>
      </c>
      <c r="K36" s="174" t="s">
        <v>1653</v>
      </c>
      <c r="L36" s="174" t="s">
        <v>68</v>
      </c>
      <c r="M36" s="174" t="s">
        <v>11</v>
      </c>
      <c r="N36" s="174" t="s">
        <v>10</v>
      </c>
      <c r="O36" t="s">
        <v>332</v>
      </c>
      <c r="P36" s="48" t="str">
        <f>Transistors63[[#This Row],[Footprint]]</f>
        <v>SOT-23</v>
      </c>
      <c r="Q36" s="174"/>
    </row>
    <row r="37" spans="1:17" x14ac:dyDescent="0.25">
      <c r="A37" s="48">
        <f>ROW()-1</f>
        <v>36</v>
      </c>
      <c r="B37" s="235" t="s">
        <v>1656</v>
      </c>
      <c r="C37" s="48" t="str">
        <f>"TRAN"</f>
        <v>TRAN</v>
      </c>
      <c r="D37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45V 0.5A 0.31W SOT-23 AECQ</v>
      </c>
      <c r="E37" s="174" t="s">
        <v>324</v>
      </c>
      <c r="F37" s="174" t="s">
        <v>398</v>
      </c>
      <c r="G37" s="174" t="s">
        <v>1015</v>
      </c>
      <c r="H37" s="174" t="s">
        <v>335</v>
      </c>
      <c r="I37" s="174" t="s">
        <v>1124</v>
      </c>
      <c r="J37" s="174" t="s">
        <v>327</v>
      </c>
      <c r="K37" s="174" t="s">
        <v>1655</v>
      </c>
      <c r="L37" s="174" t="s">
        <v>68</v>
      </c>
      <c r="M37" s="174" t="s">
        <v>11</v>
      </c>
      <c r="N37" s="174" t="s">
        <v>10</v>
      </c>
      <c r="O37" t="s">
        <v>321</v>
      </c>
      <c r="P37" s="48" t="str">
        <f>Transistors63[[#This Row],[Footprint]]</f>
        <v>SOT-23</v>
      </c>
      <c r="Q37" s="174"/>
    </row>
    <row r="38" spans="1:17" x14ac:dyDescent="0.25">
      <c r="A38" s="48">
        <f t="shared" ref="A38:A40" si="6">ROW()-1</f>
        <v>37</v>
      </c>
      <c r="B38" s="235" t="s">
        <v>1666</v>
      </c>
      <c r="C38" s="48" t="str">
        <f t="shared" ref="C38:C40" si="7">"TRAN"</f>
        <v>TRAN</v>
      </c>
      <c r="D38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65V 0.1A 0.225W SOT-23 AECQ</v>
      </c>
      <c r="E38" s="174" t="s">
        <v>324</v>
      </c>
      <c r="F38" s="174" t="s">
        <v>325</v>
      </c>
      <c r="G38" s="174" t="s">
        <v>143</v>
      </c>
      <c r="H38" s="174" t="s">
        <v>326</v>
      </c>
      <c r="I38" s="174" t="s">
        <v>1123</v>
      </c>
      <c r="J38" s="174" t="s">
        <v>327</v>
      </c>
      <c r="K38" s="174" t="s">
        <v>1667</v>
      </c>
      <c r="L38" s="174" t="s">
        <v>68</v>
      </c>
      <c r="M38" s="174" t="s">
        <v>11</v>
      </c>
      <c r="N38" s="174" t="s">
        <v>10</v>
      </c>
      <c r="O38" t="s">
        <v>321</v>
      </c>
      <c r="P38" s="48" t="str">
        <f>Transistors63[[#This Row],[Footprint]]</f>
        <v>SOT-23</v>
      </c>
      <c r="Q38" s="174"/>
    </row>
    <row r="39" spans="1:17" x14ac:dyDescent="0.25">
      <c r="A39" s="48">
        <f t="shared" si="6"/>
        <v>38</v>
      </c>
      <c r="B39" s="235" t="s">
        <v>1675</v>
      </c>
      <c r="C39" s="48" t="str">
        <f t="shared" si="7"/>
        <v>TRAN</v>
      </c>
      <c r="D39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80V 1A 2W SOT223 AECQ</v>
      </c>
      <c r="E39" s="174" t="s">
        <v>334</v>
      </c>
      <c r="F39" s="174" t="s">
        <v>1081</v>
      </c>
      <c r="G39" s="174" t="s">
        <v>141</v>
      </c>
      <c r="H39" s="174" t="s">
        <v>335</v>
      </c>
      <c r="I39" s="174" t="s">
        <v>1676</v>
      </c>
      <c r="J39" s="174" t="s">
        <v>1083</v>
      </c>
      <c r="K39" s="174" t="s">
        <v>1664</v>
      </c>
      <c r="L39" s="174" t="s">
        <v>68</v>
      </c>
      <c r="M39" s="174" t="s">
        <v>11</v>
      </c>
      <c r="N39" s="174" t="s">
        <v>10</v>
      </c>
      <c r="P39" s="48" t="str">
        <f>Transistors63[[#This Row],[Footprint]]</f>
        <v>SOT223</v>
      </c>
      <c r="Q39" s="174"/>
    </row>
    <row r="40" spans="1:17" x14ac:dyDescent="0.25">
      <c r="A40" s="48">
        <f t="shared" si="6"/>
        <v>39</v>
      </c>
      <c r="B40" s="235" t="s">
        <v>1674</v>
      </c>
      <c r="C40" s="48" t="str">
        <f t="shared" si="7"/>
        <v>TRAN</v>
      </c>
      <c r="D40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PNP 45V 0.5A 0.31W SOT23-3 AECQ</v>
      </c>
      <c r="E40" s="174" t="s">
        <v>334</v>
      </c>
      <c r="F40" s="174" t="s">
        <v>398</v>
      </c>
      <c r="G40" s="174" t="s">
        <v>1015</v>
      </c>
      <c r="H40" s="174" t="s">
        <v>335</v>
      </c>
      <c r="I40" s="174" t="s">
        <v>1124</v>
      </c>
      <c r="J40" s="174" t="s">
        <v>71</v>
      </c>
      <c r="K40" s="174" t="s">
        <v>1665</v>
      </c>
      <c r="L40" s="174" t="s">
        <v>68</v>
      </c>
      <c r="M40" s="174" t="s">
        <v>11</v>
      </c>
      <c r="N40" s="174" t="s">
        <v>10</v>
      </c>
      <c r="P40" s="48" t="str">
        <f>Transistors63[[#This Row],[Footprint]]</f>
        <v>SOT23-3</v>
      </c>
      <c r="Q40" s="174"/>
    </row>
    <row r="41" spans="1:17" x14ac:dyDescent="0.25">
      <c r="A41" s="48">
        <f>ROW()-1</f>
        <v>40</v>
      </c>
      <c r="B41" s="235" t="s">
        <v>1705</v>
      </c>
      <c r="C41" s="48" t="str">
        <f>"TRAN"</f>
        <v>TRAN</v>
      </c>
      <c r="D41" s="43" t="str">
        <f>CONCATENATE(Transistors63[[#This Row],[Category]]," ",Transistors63[[#This Row],[Type]]," ",Transistors63[[#This Row],[Max Collector-Emitter Voltage(V)]]," ",Transistors63[[#This Row],[Max Collector Current(I)]]," ",Transistors63[[#This Row],[Power(W)]]," ",Transistors63[[#This Row],[Footprint]]," ",Transistors63[[#This Row],[Rating]])</f>
        <v>TRAN NPN 65V 0.1A 0.25W SOT-23 AECQ</v>
      </c>
      <c r="E41" s="174" t="s">
        <v>324</v>
      </c>
      <c r="F41" s="174" t="s">
        <v>325</v>
      </c>
      <c r="G41" s="174" t="s">
        <v>143</v>
      </c>
      <c r="H41" s="174" t="s">
        <v>326</v>
      </c>
      <c r="I41" s="174" t="s">
        <v>352</v>
      </c>
      <c r="J41" s="174" t="s">
        <v>327</v>
      </c>
      <c r="K41" s="174" t="s">
        <v>1700</v>
      </c>
      <c r="L41" s="174" t="s">
        <v>1701</v>
      </c>
      <c r="M41" s="174" t="s">
        <v>11</v>
      </c>
      <c r="N41" s="174" t="s">
        <v>10</v>
      </c>
      <c r="O41" t="s">
        <v>321</v>
      </c>
      <c r="P41" s="48" t="str">
        <f>Transistors63[[#This Row],[Footprint]]</f>
        <v>SOT-23</v>
      </c>
      <c r="Q41" s="174"/>
    </row>
  </sheetData>
  <dataValidations count="5">
    <dataValidation type="list" allowBlank="1" showInputMessage="1" showErrorMessage="1" sqref="M2:M41">
      <formula1>Rating_List</formula1>
    </dataValidation>
    <dataValidation type="list" allowBlank="1" showInputMessage="1" showErrorMessage="1" sqref="N2:N41">
      <formula1>Process_List</formula1>
    </dataValidation>
    <dataValidation type="list" allowBlank="1" showInputMessage="1" showErrorMessage="1" sqref="O2:O41">
      <formula1>Symbols_Transistors</formula1>
    </dataValidation>
    <dataValidation type="list" allowBlank="1" showInputMessage="1" showErrorMessage="1" sqref="L2:L41">
      <formula1>Manufacturers_Transistors</formula1>
    </dataValidation>
    <dataValidation type="list" allowBlank="1" showInputMessage="1" showErrorMessage="1" sqref="J2:J41">
      <formula1>Footprints_Transistors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13"/>
  <sheetViews>
    <sheetView workbookViewId="0">
      <selection activeCell="D29" sqref="D29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11.140625" bestFit="1" customWidth="1"/>
    <col min="4" max="4" width="48.28515625" bestFit="1" customWidth="1"/>
    <col min="5" max="5" width="7.5703125" bestFit="1" customWidth="1"/>
    <col min="6" max="6" width="29.5703125" bestFit="1" customWidth="1"/>
    <col min="7" max="7" width="21.7109375" bestFit="1" customWidth="1"/>
    <col min="8" max="8" width="29.140625" bestFit="1" customWidth="1"/>
    <col min="9" max="9" width="12.42578125" bestFit="1" customWidth="1"/>
    <col min="10" max="10" width="20.28515625" bestFit="1" customWidth="1"/>
    <col min="11" max="11" width="22.5703125" bestFit="1" customWidth="1"/>
    <col min="12" max="12" width="15.5703125" bestFit="1" customWidth="1"/>
    <col min="13" max="13" width="8.85546875" bestFit="1" customWidth="1"/>
    <col min="14" max="14" width="10" bestFit="1" customWidth="1"/>
    <col min="15" max="15" width="12.7109375" bestFit="1" customWidth="1"/>
    <col min="16" max="16" width="20.28515625" bestFit="1" customWidth="1"/>
  </cols>
  <sheetData>
    <row r="1" spans="1:16" s="35" customFormat="1" x14ac:dyDescent="0.25">
      <c r="A1" s="234" t="s">
        <v>1167</v>
      </c>
      <c r="B1" s="16" t="s">
        <v>67</v>
      </c>
      <c r="C1" s="47" t="s">
        <v>7</v>
      </c>
      <c r="D1" s="47" t="s">
        <v>8</v>
      </c>
      <c r="E1" s="16" t="s">
        <v>15</v>
      </c>
      <c r="F1" s="29" t="s">
        <v>1549</v>
      </c>
      <c r="G1" s="29" t="s">
        <v>1550</v>
      </c>
      <c r="H1" s="29" t="s">
        <v>1551</v>
      </c>
      <c r="I1" s="29" t="s">
        <v>167</v>
      </c>
      <c r="J1" s="16" t="s">
        <v>18</v>
      </c>
      <c r="K1" s="16" t="s">
        <v>2</v>
      </c>
      <c r="L1" s="16" t="s">
        <v>1</v>
      </c>
      <c r="M1" s="16" t="s">
        <v>6</v>
      </c>
      <c r="N1" s="16" t="s">
        <v>5</v>
      </c>
      <c r="O1" s="16" t="s">
        <v>3</v>
      </c>
      <c r="P1" s="47" t="s">
        <v>4</v>
      </c>
    </row>
    <row r="2" spans="1:16" x14ac:dyDescent="0.25">
      <c r="A2" s="46">
        <f t="shared" ref="A2:A13" si="0">ROW()-1</f>
        <v>1</v>
      </c>
      <c r="B2" s="44" t="s">
        <v>1133</v>
      </c>
      <c r="C2" s="46" t="str">
        <f>"MOS"</f>
        <v>MOS</v>
      </c>
      <c r="D2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P-Ch 40V 13A 3.2W WDFN-8 AECQ</v>
      </c>
      <c r="E2" s="25" t="s">
        <v>1552</v>
      </c>
      <c r="F2" s="25" t="s">
        <v>333</v>
      </c>
      <c r="G2" s="10" t="s">
        <v>1134</v>
      </c>
      <c r="H2" s="46" t="s">
        <v>1135</v>
      </c>
      <c r="I2" s="46" t="s">
        <v>1136</v>
      </c>
      <c r="J2" s="46" t="s">
        <v>1137</v>
      </c>
      <c r="K2" s="46" t="s">
        <v>1138</v>
      </c>
      <c r="L2" s="46" t="s">
        <v>222</v>
      </c>
      <c r="M2" s="46" t="s">
        <v>11</v>
      </c>
      <c r="N2" s="46" t="s">
        <v>10</v>
      </c>
      <c r="O2" s="46"/>
      <c r="P2" s="46" t="str">
        <f>Mosfets76[[#This Row],[Footprint]]</f>
        <v>WDFN-8</v>
      </c>
    </row>
    <row r="3" spans="1:16" x14ac:dyDescent="0.25">
      <c r="A3" s="46">
        <f t="shared" si="0"/>
        <v>2</v>
      </c>
      <c r="B3" s="44" t="s">
        <v>1139</v>
      </c>
      <c r="C3" s="174" t="str">
        <f t="shared" ref="C3:C13" si="1">"MOS"</f>
        <v>MOS</v>
      </c>
      <c r="D3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40V 100A 3.5W PowerDI3333-8 AECQ</v>
      </c>
      <c r="E3" s="25" t="s">
        <v>1553</v>
      </c>
      <c r="F3" s="25" t="s">
        <v>333</v>
      </c>
      <c r="G3" s="10" t="s">
        <v>1140</v>
      </c>
      <c r="H3" s="46" t="s">
        <v>1135</v>
      </c>
      <c r="I3" s="46" t="s">
        <v>1141</v>
      </c>
      <c r="J3" s="46" t="s">
        <v>1142</v>
      </c>
      <c r="K3" s="46" t="s">
        <v>1143</v>
      </c>
      <c r="L3" s="46" t="s">
        <v>68</v>
      </c>
      <c r="M3" s="46" t="s">
        <v>11</v>
      </c>
      <c r="N3" s="46" t="s">
        <v>10</v>
      </c>
      <c r="O3" s="46"/>
      <c r="P3" s="46" t="str">
        <f>Mosfets76[[#This Row],[Footprint]]</f>
        <v>PowerDI3333-8</v>
      </c>
    </row>
    <row r="4" spans="1:16" x14ac:dyDescent="0.25">
      <c r="A4" s="46">
        <f t="shared" si="0"/>
        <v>3</v>
      </c>
      <c r="B4" s="44" t="s">
        <v>1139</v>
      </c>
      <c r="C4" s="174" t="str">
        <f t="shared" si="1"/>
        <v>MOS</v>
      </c>
      <c r="D4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40V 100A 2.62W PowerDI3333-8 AECQ</v>
      </c>
      <c r="E4" s="25" t="s">
        <v>1553</v>
      </c>
      <c r="F4" s="25" t="s">
        <v>333</v>
      </c>
      <c r="G4" s="10" t="s">
        <v>1140</v>
      </c>
      <c r="H4" s="46" t="s">
        <v>1135</v>
      </c>
      <c r="I4" s="46" t="s">
        <v>1144</v>
      </c>
      <c r="J4" s="46" t="s">
        <v>1142</v>
      </c>
      <c r="K4" s="46" t="s">
        <v>1145</v>
      </c>
      <c r="L4" s="46" t="s">
        <v>68</v>
      </c>
      <c r="M4" s="46" t="s">
        <v>11</v>
      </c>
      <c r="N4" s="46" t="s">
        <v>10</v>
      </c>
      <c r="O4" s="46"/>
      <c r="P4" s="46" t="str">
        <f>Mosfets76[[#This Row],[Footprint]]</f>
        <v>PowerDI3333-8</v>
      </c>
    </row>
    <row r="5" spans="1:16" x14ac:dyDescent="0.25">
      <c r="A5" s="46">
        <f t="shared" si="0"/>
        <v>4</v>
      </c>
      <c r="B5" s="44" t="s">
        <v>1146</v>
      </c>
      <c r="C5" s="174" t="str">
        <f t="shared" si="1"/>
        <v>MOS</v>
      </c>
      <c r="D5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40V 9.4A 2.9W WDFN-8 AECQ</v>
      </c>
      <c r="E5" s="25" t="s">
        <v>1553</v>
      </c>
      <c r="F5" s="25" t="s">
        <v>333</v>
      </c>
      <c r="G5" s="10" t="s">
        <v>1147</v>
      </c>
      <c r="H5" s="46" t="s">
        <v>1135</v>
      </c>
      <c r="I5" s="46" t="s">
        <v>1148</v>
      </c>
      <c r="J5" s="46" t="s">
        <v>1137</v>
      </c>
      <c r="K5" s="46" t="s">
        <v>1149</v>
      </c>
      <c r="L5" s="46" t="s">
        <v>222</v>
      </c>
      <c r="M5" s="46" t="s">
        <v>11</v>
      </c>
      <c r="N5" s="46" t="s">
        <v>10</v>
      </c>
      <c r="O5" s="46"/>
      <c r="P5" s="46" t="str">
        <f>Mosfets76[[#This Row],[Footprint]]</f>
        <v>WDFN-8</v>
      </c>
    </row>
    <row r="6" spans="1:16" x14ac:dyDescent="0.25">
      <c r="A6" s="46">
        <f t="shared" si="0"/>
        <v>5</v>
      </c>
      <c r="B6" s="44" t="s">
        <v>1150</v>
      </c>
      <c r="C6" s="174" t="str">
        <f t="shared" si="1"/>
        <v>MOS</v>
      </c>
      <c r="D6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100V 4A 0.8W U-DFN2020-6 (Type F) AECQ</v>
      </c>
      <c r="E6" s="46" t="s">
        <v>1553</v>
      </c>
      <c r="F6" s="46" t="s">
        <v>57</v>
      </c>
      <c r="G6" s="46" t="s">
        <v>147</v>
      </c>
      <c r="H6" s="46" t="s">
        <v>1135</v>
      </c>
      <c r="I6" s="46" t="s">
        <v>1151</v>
      </c>
      <c r="J6" s="46" t="s">
        <v>1152</v>
      </c>
      <c r="K6" s="46" t="s">
        <v>1153</v>
      </c>
      <c r="L6" s="46" t="s">
        <v>68</v>
      </c>
      <c r="M6" s="46" t="s">
        <v>11</v>
      </c>
      <c r="N6" s="46" t="s">
        <v>10</v>
      </c>
      <c r="O6" s="46"/>
      <c r="P6" s="46" t="str">
        <f>Mosfets76[[#This Row],[Footprint]]</f>
        <v>U-DFN2020-6 (Type F)</v>
      </c>
    </row>
    <row r="7" spans="1:16" x14ac:dyDescent="0.25">
      <c r="A7" s="46">
        <f t="shared" si="0"/>
        <v>6</v>
      </c>
      <c r="B7" s="44" t="s">
        <v>1154</v>
      </c>
      <c r="C7" s="174" t="str">
        <f t="shared" si="1"/>
        <v>MOS</v>
      </c>
      <c r="D7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55V 0.54A 0.36W SOT-23 AECQ</v>
      </c>
      <c r="E7" s="46" t="s">
        <v>1553</v>
      </c>
      <c r="F7" s="46" t="s">
        <v>1155</v>
      </c>
      <c r="G7" s="46" t="s">
        <v>1156</v>
      </c>
      <c r="H7" s="46" t="s">
        <v>1135</v>
      </c>
      <c r="I7" s="46" t="s">
        <v>1157</v>
      </c>
      <c r="J7" s="46" t="s">
        <v>327</v>
      </c>
      <c r="K7" s="46" t="s">
        <v>1158</v>
      </c>
      <c r="L7" s="46" t="s">
        <v>317</v>
      </c>
      <c r="M7" s="46" t="s">
        <v>11</v>
      </c>
      <c r="N7" s="46" t="s">
        <v>10</v>
      </c>
      <c r="O7" s="46"/>
      <c r="P7" s="46" t="str">
        <f>Mosfets76[[#This Row],[Footprint]]</f>
        <v>SOT-23</v>
      </c>
    </row>
    <row r="8" spans="1:16" x14ac:dyDescent="0.25">
      <c r="A8" s="46">
        <f t="shared" si="0"/>
        <v>7</v>
      </c>
      <c r="B8" s="44" t="s">
        <v>1159</v>
      </c>
      <c r="C8" s="174" t="str">
        <f t="shared" si="1"/>
        <v>MOS</v>
      </c>
      <c r="D8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60V 3A 1.2W SOT-23 AECQ</v>
      </c>
      <c r="E8" s="46" t="s">
        <v>1553</v>
      </c>
      <c r="F8" s="46" t="s">
        <v>168</v>
      </c>
      <c r="G8" s="46" t="s">
        <v>285</v>
      </c>
      <c r="H8" s="46" t="s">
        <v>1135</v>
      </c>
      <c r="I8" s="46" t="s">
        <v>1160</v>
      </c>
      <c r="J8" s="46" t="s">
        <v>327</v>
      </c>
      <c r="K8" s="46" t="s">
        <v>1161</v>
      </c>
      <c r="L8" s="46" t="s">
        <v>1162</v>
      </c>
      <c r="M8" s="46" t="s">
        <v>11</v>
      </c>
      <c r="N8" s="46" t="s">
        <v>10</v>
      </c>
      <c r="O8" s="46"/>
      <c r="P8" s="46" t="str">
        <f>Mosfets76[[#This Row],[Footprint]]</f>
        <v>SOT-23</v>
      </c>
    </row>
    <row r="9" spans="1:16" x14ac:dyDescent="0.25">
      <c r="A9" s="46">
        <f t="shared" si="0"/>
        <v>8</v>
      </c>
      <c r="B9" s="46" t="s">
        <v>338</v>
      </c>
      <c r="C9" s="174" t="str">
        <f t="shared" si="1"/>
        <v>MOS</v>
      </c>
      <c r="D9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60V 2A 0.8W SOT-23 STD</v>
      </c>
      <c r="E9" s="46" t="s">
        <v>1553</v>
      </c>
      <c r="F9" s="46" t="s">
        <v>168</v>
      </c>
      <c r="G9" s="46" t="s">
        <v>148</v>
      </c>
      <c r="H9" s="46" t="s">
        <v>1135</v>
      </c>
      <c r="I9" s="46" t="s">
        <v>1151</v>
      </c>
      <c r="J9" s="46" t="s">
        <v>327</v>
      </c>
      <c r="K9" s="46" t="s">
        <v>339</v>
      </c>
      <c r="L9" s="46" t="s">
        <v>68</v>
      </c>
      <c r="M9" s="46" t="s">
        <v>1561</v>
      </c>
      <c r="N9" s="46" t="s">
        <v>10</v>
      </c>
      <c r="O9" s="46"/>
      <c r="P9" s="46" t="str">
        <f>Mosfets76[[#This Row],[Footprint]]</f>
        <v>SOT-23</v>
      </c>
    </row>
    <row r="10" spans="1:16" x14ac:dyDescent="0.25">
      <c r="A10" s="46">
        <f t="shared" si="0"/>
        <v>9</v>
      </c>
      <c r="B10" s="46" t="s">
        <v>338</v>
      </c>
      <c r="C10" s="174" t="str">
        <f t="shared" si="1"/>
        <v>MOS</v>
      </c>
      <c r="D10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60V 2A 0.8W SOT-23 STD</v>
      </c>
      <c r="E10" s="46" t="s">
        <v>1553</v>
      </c>
      <c r="F10" s="46" t="s">
        <v>168</v>
      </c>
      <c r="G10" s="46" t="s">
        <v>148</v>
      </c>
      <c r="H10" s="46" t="s">
        <v>1135</v>
      </c>
      <c r="I10" s="46" t="s">
        <v>1151</v>
      </c>
      <c r="J10" s="46" t="s">
        <v>327</v>
      </c>
      <c r="K10" s="46" t="s">
        <v>1163</v>
      </c>
      <c r="L10" s="46" t="s">
        <v>68</v>
      </c>
      <c r="M10" s="46" t="s">
        <v>1561</v>
      </c>
      <c r="N10" s="46" t="s">
        <v>10</v>
      </c>
      <c r="O10" s="46"/>
      <c r="P10" s="46" t="str">
        <f>Mosfets76[[#This Row],[Footprint]]</f>
        <v>SOT-23</v>
      </c>
    </row>
    <row r="11" spans="1:16" x14ac:dyDescent="0.25">
      <c r="A11" s="46">
        <f t="shared" si="0"/>
        <v>10</v>
      </c>
      <c r="B11" s="46" t="s">
        <v>338</v>
      </c>
      <c r="C11" s="174" t="str">
        <f t="shared" si="1"/>
        <v>MOS</v>
      </c>
      <c r="D11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60V 2A 0.8W SOT-23 STD</v>
      </c>
      <c r="E11" s="46" t="s">
        <v>1553</v>
      </c>
      <c r="F11" s="46" t="s">
        <v>168</v>
      </c>
      <c r="G11" s="46" t="s">
        <v>148</v>
      </c>
      <c r="H11" s="46" t="s">
        <v>1135</v>
      </c>
      <c r="I11" s="46" t="s">
        <v>1151</v>
      </c>
      <c r="J11" s="46" t="s">
        <v>327</v>
      </c>
      <c r="K11" s="46" t="s">
        <v>1164</v>
      </c>
      <c r="L11" s="46" t="s">
        <v>68</v>
      </c>
      <c r="M11" s="46" t="s">
        <v>1561</v>
      </c>
      <c r="N11" s="46" t="s">
        <v>10</v>
      </c>
      <c r="O11" s="46"/>
      <c r="P11" s="46" t="str">
        <f>Mosfets76[[#This Row],[Footprint]]</f>
        <v>SOT-23</v>
      </c>
    </row>
    <row r="12" spans="1:16" x14ac:dyDescent="0.25">
      <c r="A12" s="48">
        <f t="shared" si="0"/>
        <v>11</v>
      </c>
      <c r="B12" s="46" t="s">
        <v>338</v>
      </c>
      <c r="C12" s="174" t="str">
        <f t="shared" si="1"/>
        <v>MOS</v>
      </c>
      <c r="D12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60V 2A 0.8W SOT-23 AECQ</v>
      </c>
      <c r="E12" s="46" t="s">
        <v>1553</v>
      </c>
      <c r="F12" s="46" t="s">
        <v>168</v>
      </c>
      <c r="G12" s="46" t="s">
        <v>148</v>
      </c>
      <c r="H12" s="46" t="s">
        <v>1135</v>
      </c>
      <c r="I12" s="46" t="s">
        <v>1151</v>
      </c>
      <c r="J12" s="46" t="s">
        <v>327</v>
      </c>
      <c r="K12" s="46" t="s">
        <v>1165</v>
      </c>
      <c r="L12" s="46" t="s">
        <v>68</v>
      </c>
      <c r="M12" s="46" t="s">
        <v>11</v>
      </c>
      <c r="N12" s="46" t="s">
        <v>10</v>
      </c>
      <c r="O12" s="46"/>
      <c r="P12" s="48" t="str">
        <f>Mosfets76[[#This Row],[Footprint]]</f>
        <v>SOT-23</v>
      </c>
    </row>
    <row r="13" spans="1:16" x14ac:dyDescent="0.25">
      <c r="A13" s="48">
        <f t="shared" si="0"/>
        <v>12</v>
      </c>
      <c r="B13" s="46" t="s">
        <v>338</v>
      </c>
      <c r="C13" s="174" t="str">
        <f t="shared" si="1"/>
        <v>MOS</v>
      </c>
      <c r="D13" s="6" t="str">
        <f>CONCATENATE(Mosfets76[[#This Row],[Category]]," ",Mosfets76[[#This Row],[Type]]," ",Mosfets76[[#This Row],[Max Drain-Source Voltage(V)]]," ",Mosfets76[[#This Row],[Max Drain Current(I)]]," ",Mosfets76[[#This Row],[Power(W)]]," ",Mosfets76[[#This Row],[Footprint]]," ",Mosfets76[[#This Row],[Rating]])</f>
        <v>MOS N-Ch 60V 2A 0.8W SOT-23 AECQ</v>
      </c>
      <c r="E13" s="46" t="s">
        <v>1553</v>
      </c>
      <c r="F13" s="46" t="s">
        <v>168</v>
      </c>
      <c r="G13" s="46" t="s">
        <v>148</v>
      </c>
      <c r="H13" s="46" t="s">
        <v>1135</v>
      </c>
      <c r="I13" s="46" t="s">
        <v>1151</v>
      </c>
      <c r="J13" s="46" t="s">
        <v>327</v>
      </c>
      <c r="K13" s="46" t="s">
        <v>1166</v>
      </c>
      <c r="L13" s="46" t="s">
        <v>68</v>
      </c>
      <c r="M13" s="46" t="s">
        <v>11</v>
      </c>
      <c r="N13" s="46" t="s">
        <v>10</v>
      </c>
      <c r="O13" s="46"/>
      <c r="P13" s="48" t="str">
        <f>Mosfets76[[#This Row],[Footprint]]</f>
        <v>SOT-23</v>
      </c>
    </row>
  </sheetData>
  <dataValidations count="5">
    <dataValidation type="list" allowBlank="1" showInputMessage="1" showErrorMessage="1" sqref="N2:N13">
      <formula1>Process_List</formula1>
    </dataValidation>
    <dataValidation type="list" allowBlank="1" showInputMessage="1" showErrorMessage="1" sqref="M2:M13">
      <formula1>Rating_List</formula1>
    </dataValidation>
    <dataValidation type="list" allowBlank="1" showInputMessage="1" showErrorMessage="1" sqref="L2:L13">
      <formula1>Manufacturers_Mosfets</formula1>
    </dataValidation>
    <dataValidation type="list" allowBlank="1" showInputMessage="1" showErrorMessage="1" sqref="O2:O13">
      <formula1>Symbols_Mosfets</formula1>
    </dataValidation>
    <dataValidation type="list" allowBlank="1" showInputMessage="1" showErrorMessage="1" sqref="J2:J13">
      <formula1>Footprints_Mosfets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3"/>
  <sheetViews>
    <sheetView zoomScaleNormal="100" workbookViewId="0">
      <selection activeCell="D3" sqref="D3"/>
    </sheetView>
  </sheetViews>
  <sheetFormatPr defaultRowHeight="15" x14ac:dyDescent="0.25"/>
  <cols>
    <col min="1" max="1" width="5.140625" bestFit="1" customWidth="1"/>
    <col min="2" max="2" width="13.140625" style="173" customWidth="1"/>
    <col min="3" max="3" width="11.140625" bestFit="1" customWidth="1"/>
    <col min="4" max="4" width="43.28515625" bestFit="1" customWidth="1"/>
    <col min="5" max="5" width="10.85546875" bestFit="1" customWidth="1"/>
    <col min="6" max="6" width="24.28515625" style="173" bestFit="1" customWidth="1"/>
    <col min="7" max="7" width="23.28515625" bestFit="1" customWidth="1"/>
    <col min="8" max="8" width="15.85546875" style="173" bestFit="1" customWidth="1"/>
    <col min="9" max="9" width="19.28515625" bestFit="1" customWidth="1"/>
    <col min="10" max="10" width="15.5703125" bestFit="1" customWidth="1"/>
    <col min="11" max="11" width="8.85546875" bestFit="1" customWidth="1"/>
    <col min="12" max="12" width="10" bestFit="1" customWidth="1"/>
    <col min="13" max="13" width="18.7109375" bestFit="1" customWidth="1"/>
    <col min="14" max="14" width="15" bestFit="1" customWidth="1"/>
  </cols>
  <sheetData>
    <row r="1" spans="1:14" x14ac:dyDescent="0.25">
      <c r="A1" s="173" t="s">
        <v>0</v>
      </c>
      <c r="B1" s="7" t="s">
        <v>67</v>
      </c>
      <c r="C1" s="173" t="s">
        <v>7</v>
      </c>
      <c r="D1" s="173" t="s">
        <v>8</v>
      </c>
      <c r="E1" s="7" t="s">
        <v>15</v>
      </c>
      <c r="F1" s="7" t="s">
        <v>1554</v>
      </c>
      <c r="G1" s="7" t="s">
        <v>1556</v>
      </c>
      <c r="H1" s="7" t="s">
        <v>18</v>
      </c>
      <c r="I1" s="7" t="s">
        <v>2</v>
      </c>
      <c r="J1" s="7" t="s">
        <v>1</v>
      </c>
      <c r="K1" s="7" t="s">
        <v>6</v>
      </c>
      <c r="L1" s="7" t="s">
        <v>5</v>
      </c>
      <c r="M1" s="7" t="s">
        <v>3</v>
      </c>
      <c r="N1" s="173" t="s">
        <v>4</v>
      </c>
    </row>
    <row r="2" spans="1:14" x14ac:dyDescent="0.25">
      <c r="A2" s="48">
        <f t="shared" ref="A2:A13" si="0">ROW()-1</f>
        <v>1</v>
      </c>
      <c r="B2" s="48"/>
      <c r="C2" s="48" t="str">
        <f>"DC-DC"</f>
        <v>DC-DC</v>
      </c>
      <c r="D2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>DC-DC Buck 40V 2A SO-8EP AECQ</v>
      </c>
      <c r="E2" s="20" t="s">
        <v>1555</v>
      </c>
      <c r="F2" s="20" t="s">
        <v>333</v>
      </c>
      <c r="G2" s="48" t="s">
        <v>148</v>
      </c>
      <c r="H2" s="48" t="s">
        <v>1438</v>
      </c>
      <c r="I2" s="48" t="s">
        <v>1414</v>
      </c>
      <c r="J2" s="214" t="s">
        <v>68</v>
      </c>
      <c r="K2" s="48" t="s">
        <v>11</v>
      </c>
      <c r="L2" s="48" t="s">
        <v>10</v>
      </c>
      <c r="M2" s="48" t="s">
        <v>1415</v>
      </c>
      <c r="N2" s="48" t="str">
        <f>Mosfets768[[#This Row],[Footprint]]</f>
        <v>SO-8EP</v>
      </c>
    </row>
    <row r="3" spans="1:14" x14ac:dyDescent="0.25">
      <c r="A3" s="48">
        <f t="shared" si="0"/>
        <v>2</v>
      </c>
      <c r="B3" s="44" t="s">
        <v>1710</v>
      </c>
      <c r="C3" s="48" t="str">
        <f t="shared" ref="C3:C13" si="1">"DC-DC"</f>
        <v>DC-DC</v>
      </c>
      <c r="D3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>DC-DC Buck-Boost 25V - TQFN-EP(24-SW) AECQ</v>
      </c>
      <c r="E3" s="20" t="s">
        <v>1711</v>
      </c>
      <c r="F3" s="20" t="s">
        <v>1259</v>
      </c>
      <c r="G3" s="48" t="s">
        <v>1713</v>
      </c>
      <c r="H3" s="48" t="s">
        <v>1712</v>
      </c>
      <c r="I3" s="48" t="s">
        <v>1715</v>
      </c>
      <c r="J3" s="214" t="s">
        <v>1714</v>
      </c>
      <c r="K3" s="48" t="s">
        <v>11</v>
      </c>
      <c r="L3" s="48" t="s">
        <v>10</v>
      </c>
      <c r="M3" s="48"/>
      <c r="N3" s="48" t="str">
        <f>Mosfets768[[#This Row],[Footprint]]</f>
        <v>TQFN-EP(24-SW)</v>
      </c>
    </row>
    <row r="4" spans="1:14" x14ac:dyDescent="0.25">
      <c r="A4" s="48">
        <f t="shared" si="0"/>
        <v>3</v>
      </c>
      <c r="B4" s="48"/>
      <c r="C4" s="48" t="str">
        <f t="shared" si="1"/>
        <v>DC-DC</v>
      </c>
      <c r="D4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4" s="20"/>
      <c r="F4" s="20"/>
      <c r="G4" s="48"/>
      <c r="H4" s="48"/>
      <c r="I4" s="48"/>
      <c r="J4" s="214"/>
      <c r="K4" s="48"/>
      <c r="L4" s="48"/>
      <c r="M4" s="48"/>
      <c r="N4" s="48">
        <f>Mosfets768[[#This Row],[Footprint]]</f>
        <v>0</v>
      </c>
    </row>
    <row r="5" spans="1:14" x14ac:dyDescent="0.25">
      <c r="A5" s="48">
        <f t="shared" si="0"/>
        <v>4</v>
      </c>
      <c r="B5" s="48"/>
      <c r="C5" s="48" t="str">
        <f t="shared" si="1"/>
        <v>DC-DC</v>
      </c>
      <c r="D5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5" s="20"/>
      <c r="F5" s="20"/>
      <c r="G5" s="48"/>
      <c r="H5" s="48"/>
      <c r="I5" s="48"/>
      <c r="J5" s="214"/>
      <c r="K5" s="48"/>
      <c r="L5" s="48"/>
      <c r="M5" s="48"/>
      <c r="N5" s="48">
        <f>Mosfets768[[#This Row],[Footprint]]</f>
        <v>0</v>
      </c>
    </row>
    <row r="6" spans="1:14" x14ac:dyDescent="0.25">
      <c r="A6" s="48">
        <f t="shared" si="0"/>
        <v>5</v>
      </c>
      <c r="B6" s="48"/>
      <c r="C6" s="48" t="str">
        <f t="shared" si="1"/>
        <v>DC-DC</v>
      </c>
      <c r="D6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6" s="48"/>
      <c r="F6" s="48"/>
      <c r="G6" s="48"/>
      <c r="H6" s="48"/>
      <c r="I6" s="48"/>
      <c r="J6" s="48"/>
      <c r="K6" s="48"/>
      <c r="L6" s="48"/>
      <c r="M6" s="48"/>
      <c r="N6" s="48">
        <f>Mosfets768[[#This Row],[Footprint]]</f>
        <v>0</v>
      </c>
    </row>
    <row r="7" spans="1:14" x14ac:dyDescent="0.25">
      <c r="A7" s="48">
        <f t="shared" si="0"/>
        <v>6</v>
      </c>
      <c r="B7" s="48"/>
      <c r="C7" s="48" t="str">
        <f t="shared" si="1"/>
        <v>DC-DC</v>
      </c>
      <c r="D7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7" s="48"/>
      <c r="F7" s="48"/>
      <c r="G7" s="48"/>
      <c r="H7" s="48"/>
      <c r="I7" s="48"/>
      <c r="J7" s="48"/>
      <c r="K7" s="48"/>
      <c r="L7" s="48"/>
      <c r="M7" s="48"/>
      <c r="N7" s="48">
        <f>Mosfets768[[#This Row],[Footprint]]</f>
        <v>0</v>
      </c>
    </row>
    <row r="8" spans="1:14" x14ac:dyDescent="0.25">
      <c r="A8" s="48">
        <f t="shared" si="0"/>
        <v>7</v>
      </c>
      <c r="B8" s="48"/>
      <c r="C8" s="48" t="str">
        <f t="shared" si="1"/>
        <v>DC-DC</v>
      </c>
      <c r="D8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8" s="48"/>
      <c r="F8" s="48"/>
      <c r="G8" s="48"/>
      <c r="H8" s="48"/>
      <c r="I8" s="48"/>
      <c r="J8" s="48"/>
      <c r="K8" s="48"/>
      <c r="L8" s="48"/>
      <c r="M8" s="48"/>
      <c r="N8" s="48">
        <f>Mosfets768[[#This Row],[Footprint]]</f>
        <v>0</v>
      </c>
    </row>
    <row r="9" spans="1:14" x14ac:dyDescent="0.25">
      <c r="A9" s="48">
        <f t="shared" si="0"/>
        <v>8</v>
      </c>
      <c r="B9" s="48"/>
      <c r="C9" s="48" t="str">
        <f t="shared" si="1"/>
        <v>DC-DC</v>
      </c>
      <c r="D9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9" s="48"/>
      <c r="F9" s="48"/>
      <c r="G9" s="48"/>
      <c r="H9" s="48"/>
      <c r="I9" s="48"/>
      <c r="J9" s="48"/>
      <c r="K9" s="48"/>
      <c r="L9" s="48"/>
      <c r="M9" s="48"/>
      <c r="N9" s="48">
        <f>Mosfets768[[#This Row],[Footprint]]</f>
        <v>0</v>
      </c>
    </row>
    <row r="10" spans="1:14" x14ac:dyDescent="0.25">
      <c r="A10" s="48">
        <f t="shared" si="0"/>
        <v>9</v>
      </c>
      <c r="B10" s="48"/>
      <c r="C10" s="48" t="str">
        <f t="shared" si="1"/>
        <v>DC-DC</v>
      </c>
      <c r="D10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10" s="48"/>
      <c r="F10" s="48"/>
      <c r="G10" s="48"/>
      <c r="H10" s="48"/>
      <c r="I10" s="48"/>
      <c r="J10" s="48"/>
      <c r="K10" s="48"/>
      <c r="L10" s="48"/>
      <c r="M10" s="48"/>
      <c r="N10" s="48">
        <f>Mosfets768[[#This Row],[Footprint]]</f>
        <v>0</v>
      </c>
    </row>
    <row r="11" spans="1:14" x14ac:dyDescent="0.25">
      <c r="A11" s="48">
        <f t="shared" si="0"/>
        <v>10</v>
      </c>
      <c r="B11" s="48"/>
      <c r="C11" s="48" t="str">
        <f t="shared" si="1"/>
        <v>DC-DC</v>
      </c>
      <c r="D11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11" s="48"/>
      <c r="F11" s="48"/>
      <c r="G11" s="48"/>
      <c r="H11" s="48"/>
      <c r="I11" s="48"/>
      <c r="J11" s="48"/>
      <c r="K11" s="48"/>
      <c r="L11" s="48"/>
      <c r="M11" s="48"/>
      <c r="N11" s="48">
        <f>Mosfets768[[#This Row],[Footprint]]</f>
        <v>0</v>
      </c>
    </row>
    <row r="12" spans="1:14" x14ac:dyDescent="0.25">
      <c r="A12" s="48">
        <f t="shared" si="0"/>
        <v>11</v>
      </c>
      <c r="B12" s="48"/>
      <c r="C12" s="48" t="str">
        <f t="shared" si="1"/>
        <v>DC-DC</v>
      </c>
      <c r="D12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12" s="48"/>
      <c r="F12" s="48"/>
      <c r="G12" s="48"/>
      <c r="H12" s="48"/>
      <c r="I12" s="48"/>
      <c r="J12" s="48"/>
      <c r="K12" s="48"/>
      <c r="L12" s="48"/>
      <c r="M12" s="48"/>
      <c r="N12" s="48">
        <f>Mosfets768[[#This Row],[Footprint]]</f>
        <v>0</v>
      </c>
    </row>
    <row r="13" spans="1:14" x14ac:dyDescent="0.25">
      <c r="A13" s="48">
        <f t="shared" si="0"/>
        <v>12</v>
      </c>
      <c r="B13" s="48"/>
      <c r="C13" s="48" t="str">
        <f t="shared" si="1"/>
        <v>DC-DC</v>
      </c>
      <c r="D13" s="48" t="str">
        <f>CONCATENATE(Mosfets768[[#This Row],[Category]]," ",Mosfets768[[#This Row],[Type]]," ",Mosfets768[[#This Row],[Max Output Voltage(V)]]," ",Mosfets768[[#This Row],[Max Output Current(I)]]," ",Mosfets768[[#This Row],[Footprint]]," ",Mosfets768[[#This Row],[Rating]])</f>
        <v xml:space="preserve">DC-DC     </v>
      </c>
      <c r="E13" s="48"/>
      <c r="F13" s="48"/>
      <c r="G13" s="48"/>
      <c r="H13" s="48"/>
      <c r="I13" s="48"/>
      <c r="J13" s="48"/>
      <c r="K13" s="48"/>
      <c r="L13" s="48"/>
      <c r="M13" s="48"/>
      <c r="N13" s="48">
        <f>Mosfets768[[#This Row],[Footprint]]</f>
        <v>0</v>
      </c>
    </row>
  </sheetData>
  <dataValidations count="5">
    <dataValidation type="list" allowBlank="1" showInputMessage="1" showErrorMessage="1" sqref="H2:H13">
      <formula1>Footprints_DCDCConverters</formula1>
    </dataValidation>
    <dataValidation type="list" allowBlank="1" showInputMessage="1" showErrorMessage="1" sqref="K2:K13">
      <formula1>Rating_List</formula1>
    </dataValidation>
    <dataValidation type="list" allowBlank="1" showInputMessage="1" showErrorMessage="1" sqref="J2:J13">
      <formula1>Manufacturers_DCDCConverters</formula1>
    </dataValidation>
    <dataValidation type="list" allowBlank="1" showInputMessage="1" showErrorMessage="1" sqref="L2:L13">
      <formula1>Process_List</formula1>
    </dataValidation>
    <dataValidation type="list" allowBlank="1" showInputMessage="1" showErrorMessage="1" sqref="M2:M13">
      <formula1>Symbols_DCDCConverters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1"/>
  <sheetViews>
    <sheetView zoomScaleNormal="100" workbookViewId="0">
      <selection activeCell="G6" sqref="G6"/>
    </sheetView>
  </sheetViews>
  <sheetFormatPr defaultRowHeight="15" x14ac:dyDescent="0.25"/>
  <cols>
    <col min="1" max="1" width="5.140625" bestFit="1" customWidth="1"/>
    <col min="2" max="2" width="11.42578125" style="173" bestFit="1" customWidth="1"/>
    <col min="3" max="3" width="11.28515625" bestFit="1" customWidth="1"/>
    <col min="4" max="4" width="36.85546875" bestFit="1" customWidth="1"/>
    <col min="5" max="5" width="14.28515625" bestFit="1" customWidth="1"/>
    <col min="6" max="6" width="24.28515625" customWidth="1"/>
    <col min="7" max="7" width="23.28515625" style="173" customWidth="1"/>
    <col min="8" max="8" width="15.140625" bestFit="1" customWidth="1"/>
    <col min="9" max="9" width="15.28515625" bestFit="1" customWidth="1"/>
    <col min="10" max="10" width="15.5703125" bestFit="1" customWidth="1"/>
    <col min="11" max="11" width="9.28515625" bestFit="1" customWidth="1"/>
    <col min="12" max="12" width="10" bestFit="1" customWidth="1"/>
    <col min="13" max="13" width="12.85546875" bestFit="1" customWidth="1"/>
    <col min="14" max="14" width="15" bestFit="1" customWidth="1"/>
  </cols>
  <sheetData>
    <row r="1" spans="1:14" x14ac:dyDescent="0.25">
      <c r="A1" t="s">
        <v>0</v>
      </c>
      <c r="B1" s="7" t="s">
        <v>67</v>
      </c>
      <c r="C1" t="s">
        <v>7</v>
      </c>
      <c r="D1" t="s">
        <v>8</v>
      </c>
      <c r="E1" s="7" t="s">
        <v>16</v>
      </c>
      <c r="F1" s="7" t="s">
        <v>1554</v>
      </c>
      <c r="G1" s="7" t="s">
        <v>1556</v>
      </c>
      <c r="H1" s="7" t="s">
        <v>18</v>
      </c>
      <c r="I1" s="7" t="s">
        <v>2</v>
      </c>
      <c r="J1" s="7" t="s">
        <v>1</v>
      </c>
      <c r="K1" s="7" t="s">
        <v>6</v>
      </c>
      <c r="L1" s="7" t="s">
        <v>5</v>
      </c>
      <c r="M1" s="7" t="s">
        <v>3</v>
      </c>
      <c r="N1" t="s">
        <v>4</v>
      </c>
    </row>
    <row r="2" spans="1:14" x14ac:dyDescent="0.25">
      <c r="A2" s="174">
        <f t="shared" ref="A2:A11" si="0">ROW()-1</f>
        <v>1</v>
      </c>
      <c r="B2"/>
      <c r="C2" s="174" t="str">
        <f t="shared" ref="C2:C11" si="1">"LVR"</f>
        <v>LVR</v>
      </c>
      <c r="D2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>LVR Fixed 5V 0.2A SOT-89 AECQ</v>
      </c>
      <c r="E2" s="174" t="s">
        <v>1443</v>
      </c>
      <c r="F2" s="174" t="s">
        <v>335</v>
      </c>
      <c r="G2" s="174" t="s">
        <v>142</v>
      </c>
      <c r="H2" t="s">
        <v>1444</v>
      </c>
      <c r="K2" t="s">
        <v>11</v>
      </c>
      <c r="L2" t="s">
        <v>10</v>
      </c>
      <c r="N2" t="str">
        <f>LinearVoltageRegulators[[#This Row],[Footprint]]</f>
        <v>SOT-89</v>
      </c>
    </row>
    <row r="3" spans="1:14" x14ac:dyDescent="0.25">
      <c r="A3" s="174">
        <f t="shared" si="0"/>
        <v>2</v>
      </c>
      <c r="B3" s="50" t="s">
        <v>1689</v>
      </c>
      <c r="C3" s="174" t="str">
        <f t="shared" si="1"/>
        <v>LVR</v>
      </c>
      <c r="D3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>LVR Adjustable 37V 1.5A D2PAK-3_Ftprnt AECQ</v>
      </c>
      <c r="E3" s="174" t="s">
        <v>1686</v>
      </c>
      <c r="F3" s="174" t="s">
        <v>1687</v>
      </c>
      <c r="G3" s="174" t="s">
        <v>194</v>
      </c>
      <c r="H3" t="s">
        <v>1733</v>
      </c>
      <c r="I3" t="s">
        <v>1688</v>
      </c>
      <c r="J3" t="s">
        <v>222</v>
      </c>
      <c r="K3" t="s">
        <v>11</v>
      </c>
      <c r="L3" t="s">
        <v>10</v>
      </c>
      <c r="M3" t="s">
        <v>1732</v>
      </c>
      <c r="N3" s="173" t="str">
        <f>LinearVoltageRegulators[[#This Row],[Footprint]]</f>
        <v>D2PAK-3_Ftprnt</v>
      </c>
    </row>
    <row r="4" spans="1:14" x14ac:dyDescent="0.25">
      <c r="A4" s="174">
        <f t="shared" si="0"/>
        <v>3</v>
      </c>
      <c r="B4"/>
      <c r="C4" s="174" t="str">
        <f t="shared" si="1"/>
        <v>LVR</v>
      </c>
      <c r="D4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4" s="174"/>
      <c r="F4" s="174"/>
      <c r="G4" s="174"/>
      <c r="N4" s="173">
        <f>LinearVoltageRegulators[[#This Row],[Footprint]]</f>
        <v>0</v>
      </c>
    </row>
    <row r="5" spans="1:14" x14ac:dyDescent="0.25">
      <c r="A5" s="174">
        <f t="shared" si="0"/>
        <v>4</v>
      </c>
      <c r="B5"/>
      <c r="C5" s="174" t="str">
        <f t="shared" si="1"/>
        <v>LVR</v>
      </c>
      <c r="D5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5" s="174"/>
      <c r="F5" s="174"/>
      <c r="G5" s="174"/>
      <c r="N5" s="173">
        <f>LinearVoltageRegulators[[#This Row],[Footprint]]</f>
        <v>0</v>
      </c>
    </row>
    <row r="6" spans="1:14" x14ac:dyDescent="0.25">
      <c r="A6" s="174">
        <f t="shared" si="0"/>
        <v>5</v>
      </c>
      <c r="B6"/>
      <c r="C6" s="174" t="str">
        <f t="shared" si="1"/>
        <v>LVR</v>
      </c>
      <c r="D6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6" s="174"/>
      <c r="F6" s="174"/>
      <c r="G6" s="174"/>
      <c r="N6" s="173">
        <f>LinearVoltageRegulators[[#This Row],[Footprint]]</f>
        <v>0</v>
      </c>
    </row>
    <row r="7" spans="1:14" x14ac:dyDescent="0.25">
      <c r="A7" s="174">
        <f t="shared" si="0"/>
        <v>6</v>
      </c>
      <c r="B7"/>
      <c r="C7" s="174" t="str">
        <f t="shared" si="1"/>
        <v>LVR</v>
      </c>
      <c r="D7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7" s="174"/>
      <c r="F7" s="174"/>
      <c r="G7" s="174"/>
      <c r="N7" s="173">
        <f>LinearVoltageRegulators[[#This Row],[Footprint]]</f>
        <v>0</v>
      </c>
    </row>
    <row r="8" spans="1:14" x14ac:dyDescent="0.25">
      <c r="A8" s="174">
        <f t="shared" si="0"/>
        <v>7</v>
      </c>
      <c r="B8"/>
      <c r="C8" s="174" t="str">
        <f t="shared" si="1"/>
        <v>LVR</v>
      </c>
      <c r="D8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8" s="174"/>
      <c r="F8" s="174"/>
      <c r="G8" s="174"/>
      <c r="N8" s="173">
        <f>LinearVoltageRegulators[[#This Row],[Footprint]]</f>
        <v>0</v>
      </c>
    </row>
    <row r="9" spans="1:14" x14ac:dyDescent="0.25">
      <c r="A9" s="174">
        <f t="shared" si="0"/>
        <v>8</v>
      </c>
      <c r="B9"/>
      <c r="C9" s="174" t="str">
        <f t="shared" si="1"/>
        <v>LVR</v>
      </c>
      <c r="D9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9" s="174"/>
      <c r="F9" s="174"/>
      <c r="G9" s="174"/>
      <c r="N9" s="173">
        <f>LinearVoltageRegulators[[#This Row],[Footprint]]</f>
        <v>0</v>
      </c>
    </row>
    <row r="10" spans="1:14" x14ac:dyDescent="0.25">
      <c r="A10" s="174">
        <f t="shared" si="0"/>
        <v>9</v>
      </c>
      <c r="B10"/>
      <c r="C10" s="174" t="str">
        <f t="shared" si="1"/>
        <v>LVR</v>
      </c>
      <c r="D10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10" s="174"/>
      <c r="F10" s="174"/>
      <c r="G10" s="174"/>
      <c r="N10" s="173">
        <f>LinearVoltageRegulators[[#This Row],[Footprint]]</f>
        <v>0</v>
      </c>
    </row>
    <row r="11" spans="1:14" x14ac:dyDescent="0.25">
      <c r="A11" s="174">
        <f t="shared" si="0"/>
        <v>10</v>
      </c>
      <c r="B11"/>
      <c r="C11" s="174" t="str">
        <f t="shared" si="1"/>
        <v>LVR</v>
      </c>
      <c r="D11" s="173" t="str">
        <f>CONCATENATE(LinearVoltageRegulators[[#This Row],[Category]]," ",LinearVoltageRegulators[[#This Row],[Output Type]]," ",LinearVoltageRegulators[[#This Row],[Max Output Voltage(V)]]," ",LinearVoltageRegulators[[#This Row],[Max Output Current(I)]]," ",LinearVoltageRegulators[[#This Row],[Footprint]]," ",LinearVoltageRegulators[[#This Row],[Rating]])</f>
        <v xml:space="preserve">LVR     </v>
      </c>
      <c r="E11" s="174"/>
      <c r="F11" s="174"/>
      <c r="G11" s="174"/>
      <c r="N11" s="173">
        <f>LinearVoltageRegulators[[#This Row],[Footprint]]</f>
        <v>0</v>
      </c>
    </row>
  </sheetData>
  <dataValidations count="5">
    <dataValidation type="list" allowBlank="1" showInputMessage="1" showErrorMessage="1" sqref="H2:H11">
      <formula1>Footprints_LVRs</formula1>
    </dataValidation>
    <dataValidation type="list" allowBlank="1" showInputMessage="1" showErrorMessage="1" sqref="J2:J11">
      <formula1>Manufacturers_LVRs</formula1>
    </dataValidation>
    <dataValidation type="list" allowBlank="1" showInputMessage="1" showErrorMessage="1" sqref="K2:K11">
      <formula1>Rating_List</formula1>
    </dataValidation>
    <dataValidation type="list" allowBlank="1" showInputMessage="1" showErrorMessage="1" sqref="L2:L11">
      <formula1>Process_List</formula1>
    </dataValidation>
    <dataValidation type="list" allowBlank="1" showInputMessage="1" showErrorMessage="1" sqref="M2:M11">
      <formula1>Symbols_LVRs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1"/>
  <sheetViews>
    <sheetView zoomScale="85" zoomScaleNormal="85" workbookViewId="0">
      <selection activeCell="L12" sqref="L12"/>
    </sheetView>
  </sheetViews>
  <sheetFormatPr defaultRowHeight="15" x14ac:dyDescent="0.25"/>
  <cols>
    <col min="1" max="1" width="5.140625" bestFit="1" customWidth="1"/>
    <col min="2" max="2" width="11" bestFit="1" customWidth="1"/>
    <col min="3" max="3" width="25.28515625" bestFit="1" customWidth="1"/>
    <col min="4" max="4" width="46.28515625" bestFit="1" customWidth="1"/>
    <col min="5" max="5" width="7.85546875" bestFit="1" customWidth="1"/>
    <col min="6" max="6" width="21.42578125" customWidth="1"/>
    <col min="7" max="7" width="28.140625" customWidth="1"/>
    <col min="8" max="8" width="15.5703125" bestFit="1" customWidth="1"/>
    <col min="9" max="9" width="15.42578125" bestFit="1" customWidth="1"/>
    <col min="10" max="10" width="15.42578125" style="173" customWidth="1"/>
    <col min="11" max="11" width="12.7109375" bestFit="1" customWidth="1"/>
    <col min="12" max="12" width="10" bestFit="1" customWidth="1"/>
    <col min="13" max="13" width="19.85546875" bestFit="1" customWidth="1"/>
    <col min="14" max="14" width="15" bestFit="1" customWidth="1"/>
    <col min="15" max="15" width="32.85546875" bestFit="1" customWidth="1"/>
  </cols>
  <sheetData>
    <row r="1" spans="1:15" x14ac:dyDescent="0.25">
      <c r="A1" t="s">
        <v>0</v>
      </c>
      <c r="B1" s="7" t="s">
        <v>67</v>
      </c>
      <c r="C1" t="s">
        <v>7</v>
      </c>
      <c r="D1" t="s">
        <v>8</v>
      </c>
      <c r="E1" s="7" t="s">
        <v>15</v>
      </c>
      <c r="F1" s="7" t="s">
        <v>305</v>
      </c>
      <c r="G1" s="7" t="s">
        <v>306</v>
      </c>
      <c r="H1" s="7" t="s">
        <v>18</v>
      </c>
      <c r="I1" s="7" t="s">
        <v>2</v>
      </c>
      <c r="J1" s="7" t="s">
        <v>1</v>
      </c>
      <c r="K1" s="7" t="s">
        <v>6</v>
      </c>
      <c r="L1" s="7" t="s">
        <v>5</v>
      </c>
      <c r="M1" s="7" t="s">
        <v>3</v>
      </c>
      <c r="N1" t="s">
        <v>4</v>
      </c>
      <c r="O1" s="7" t="s">
        <v>251</v>
      </c>
    </row>
    <row r="2" spans="1:15" x14ac:dyDescent="0.25">
      <c r="A2" s="17">
        <f t="shared" ref="A2:A11" si="0">ROW()-1</f>
        <v>1</v>
      </c>
      <c r="B2" s="138" t="s">
        <v>318</v>
      </c>
      <c r="C2" s="215" t="str">
        <f>"LED Driver"</f>
        <v>LED Driver</v>
      </c>
      <c r="D2" s="47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>LED Driver Linear 1-Ch 180mA PG-TSDSO-14 AECQ</v>
      </c>
      <c r="E2" s="17" t="s">
        <v>307</v>
      </c>
      <c r="F2" s="215" t="s">
        <v>309</v>
      </c>
      <c r="G2" s="17" t="s">
        <v>308</v>
      </c>
      <c r="H2" s="17" t="s">
        <v>310</v>
      </c>
      <c r="I2" s="17" t="s">
        <v>311</v>
      </c>
      <c r="J2" s="17" t="s">
        <v>317</v>
      </c>
      <c r="K2" s="17" t="s">
        <v>11</v>
      </c>
      <c r="L2" s="17" t="s">
        <v>10</v>
      </c>
      <c r="M2" s="141" t="s">
        <v>319</v>
      </c>
      <c r="N2" s="42" t="str">
        <f>LEDDrivers[[#This Row],[Footprint]]</f>
        <v>PG-TSDSO-14</v>
      </c>
      <c r="O2" s="42" t="s">
        <v>320</v>
      </c>
    </row>
    <row r="3" spans="1:15" x14ac:dyDescent="0.25">
      <c r="A3" s="17">
        <f t="shared" si="0"/>
        <v>2</v>
      </c>
      <c r="B3" s="144" t="s">
        <v>399</v>
      </c>
      <c r="C3" s="215" t="str">
        <f t="shared" ref="C3:C11" si="1">"LED Driver"</f>
        <v>LED Driver</v>
      </c>
      <c r="D3" s="47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>LED Driver Linear 3-Ch 150mA SOIC16N-EP AECQ</v>
      </c>
      <c r="E3" s="17" t="s">
        <v>307</v>
      </c>
      <c r="F3" s="17" t="s">
        <v>402</v>
      </c>
      <c r="G3" s="17" t="s">
        <v>401</v>
      </c>
      <c r="H3" s="90" t="s">
        <v>403</v>
      </c>
      <c r="I3" s="216" t="s">
        <v>400</v>
      </c>
      <c r="J3" s="216" t="s">
        <v>404</v>
      </c>
      <c r="K3" s="17" t="s">
        <v>11</v>
      </c>
      <c r="L3" s="17" t="s">
        <v>10</v>
      </c>
      <c r="M3" s="141" t="s">
        <v>405</v>
      </c>
      <c r="N3" s="42" t="str">
        <f>LEDDrivers[[#This Row],[Footprint]]</f>
        <v>SOIC16N-EP</v>
      </c>
      <c r="O3" s="42" t="s">
        <v>320</v>
      </c>
    </row>
    <row r="4" spans="1:15" s="174" customFormat="1" x14ac:dyDescent="0.25">
      <c r="A4" s="17">
        <f t="shared" si="0"/>
        <v>3</v>
      </c>
      <c r="B4" s="138" t="s">
        <v>1704</v>
      </c>
      <c r="C4" s="215" t="str">
        <f t="shared" si="1"/>
        <v>LED Driver</v>
      </c>
      <c r="D4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>LED Driver Linear 3-Ch 150mA TFDSO-16 AECQ</v>
      </c>
      <c r="E4" s="17" t="s">
        <v>307</v>
      </c>
      <c r="F4" s="17" t="s">
        <v>402</v>
      </c>
      <c r="G4" s="17" t="s">
        <v>401</v>
      </c>
      <c r="H4" s="217" t="s">
        <v>1683</v>
      </c>
      <c r="I4" s="17" t="s">
        <v>1690</v>
      </c>
      <c r="J4" s="17" t="s">
        <v>317</v>
      </c>
      <c r="K4" s="17" t="s">
        <v>11</v>
      </c>
      <c r="L4" s="17" t="s">
        <v>10</v>
      </c>
      <c r="M4" s="17" t="s">
        <v>1681</v>
      </c>
      <c r="N4" s="17" t="str">
        <f>LEDDrivers[[#This Row],[Footprint]]</f>
        <v>TFDSO-16</v>
      </c>
      <c r="O4" s="17"/>
    </row>
    <row r="5" spans="1:15" s="174" customFormat="1" x14ac:dyDescent="0.25">
      <c r="A5" s="17">
        <f t="shared" si="0"/>
        <v>4</v>
      </c>
      <c r="B5" s="215"/>
      <c r="C5" s="215" t="str">
        <f t="shared" si="1"/>
        <v>LED Driver</v>
      </c>
      <c r="D5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>LED Driver Linear 3-Ch 150mA ETSSOP-16 AECQ</v>
      </c>
      <c r="E5" s="17" t="s">
        <v>307</v>
      </c>
      <c r="F5" s="17" t="s">
        <v>402</v>
      </c>
      <c r="G5" s="17" t="s">
        <v>401</v>
      </c>
      <c r="H5" s="217" t="s">
        <v>1730</v>
      </c>
      <c r="I5" s="17" t="s">
        <v>1745</v>
      </c>
      <c r="J5" s="17" t="s">
        <v>1731</v>
      </c>
      <c r="K5" s="17" t="s">
        <v>11</v>
      </c>
      <c r="L5" s="17" t="s">
        <v>10</v>
      </c>
      <c r="M5" s="17" t="s">
        <v>1729</v>
      </c>
      <c r="N5" s="17" t="str">
        <f>LEDDrivers[[#This Row],[Footprint]]</f>
        <v>ETSSOP-16</v>
      </c>
      <c r="O5" s="17"/>
    </row>
    <row r="6" spans="1:15" s="174" customFormat="1" x14ac:dyDescent="0.25">
      <c r="A6" s="17">
        <f t="shared" si="0"/>
        <v>5</v>
      </c>
      <c r="B6" s="17"/>
      <c r="C6" s="215" t="str">
        <f t="shared" si="1"/>
        <v>LED Driver</v>
      </c>
      <c r="D6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>LED Driver Linear 1-Ch 100mA SOT-26 AECQ</v>
      </c>
      <c r="E6" s="17" t="s">
        <v>307</v>
      </c>
      <c r="F6" s="17" t="s">
        <v>309</v>
      </c>
      <c r="G6" s="17" t="s">
        <v>1736</v>
      </c>
      <c r="H6" s="17" t="s">
        <v>1735</v>
      </c>
      <c r="I6" s="17" t="s">
        <v>1737</v>
      </c>
      <c r="J6" s="17" t="s">
        <v>68</v>
      </c>
      <c r="K6" s="17" t="s">
        <v>11</v>
      </c>
      <c r="L6" s="17" t="s">
        <v>10</v>
      </c>
      <c r="M6" s="17" t="s">
        <v>1738</v>
      </c>
      <c r="N6" s="17" t="str">
        <f>LEDDrivers[[#This Row],[Footprint]]</f>
        <v>SOT-26</v>
      </c>
      <c r="O6" s="17"/>
    </row>
    <row r="7" spans="1:15" s="174" customFormat="1" x14ac:dyDescent="0.25">
      <c r="A7" s="17">
        <f t="shared" si="0"/>
        <v>6</v>
      </c>
      <c r="B7" s="17"/>
      <c r="C7" s="215" t="str">
        <f t="shared" si="1"/>
        <v>LED Driver</v>
      </c>
      <c r="D7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>LED Driver Linear 3-Ch 150mA eTSSOP-16_Fprt AECQ</v>
      </c>
      <c r="E7" s="17" t="s">
        <v>307</v>
      </c>
      <c r="F7" s="17" t="s">
        <v>402</v>
      </c>
      <c r="G7" s="17" t="s">
        <v>401</v>
      </c>
      <c r="H7" s="17" t="s">
        <v>1741</v>
      </c>
      <c r="I7" s="17" t="s">
        <v>1742</v>
      </c>
      <c r="J7" s="17" t="s">
        <v>1731</v>
      </c>
      <c r="K7" s="17" t="s">
        <v>11</v>
      </c>
      <c r="L7" s="17" t="s">
        <v>10</v>
      </c>
      <c r="M7" s="17" t="s">
        <v>1739</v>
      </c>
      <c r="N7" s="17" t="str">
        <f>LEDDrivers[[#This Row],[Footprint]]</f>
        <v>eTSSOP-16_Fprt</v>
      </c>
      <c r="O7" s="17"/>
    </row>
    <row r="8" spans="1:15" s="174" customFormat="1" x14ac:dyDescent="0.25">
      <c r="A8" s="17">
        <f t="shared" si="0"/>
        <v>7</v>
      </c>
      <c r="B8" s="17"/>
      <c r="C8" s="215" t="str">
        <f t="shared" si="1"/>
        <v>LED Driver</v>
      </c>
      <c r="D8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 xml:space="preserve">LED Driver     </v>
      </c>
      <c r="E8" s="17"/>
      <c r="F8" s="17"/>
      <c r="G8" s="17"/>
      <c r="H8" s="17"/>
      <c r="I8" s="17"/>
      <c r="J8" s="17"/>
      <c r="K8" s="17"/>
      <c r="L8" s="17"/>
      <c r="M8" s="17"/>
      <c r="N8" s="17">
        <f>LEDDrivers[[#This Row],[Footprint]]</f>
        <v>0</v>
      </c>
      <c r="O8" s="17"/>
    </row>
    <row r="9" spans="1:15" s="174" customFormat="1" x14ac:dyDescent="0.25">
      <c r="A9" s="17">
        <f t="shared" si="0"/>
        <v>8</v>
      </c>
      <c r="B9" s="17"/>
      <c r="C9" s="215" t="str">
        <f t="shared" si="1"/>
        <v>LED Driver</v>
      </c>
      <c r="D9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 xml:space="preserve">LED Driver     </v>
      </c>
      <c r="E9" s="17"/>
      <c r="F9" s="17"/>
      <c r="G9" s="17"/>
      <c r="H9" s="17"/>
      <c r="I9" s="17"/>
      <c r="J9" s="17"/>
      <c r="K9" s="17"/>
      <c r="L9" s="17"/>
      <c r="M9" s="17"/>
      <c r="N9" s="17">
        <f>LEDDrivers[[#This Row],[Footprint]]</f>
        <v>0</v>
      </c>
      <c r="O9" s="17"/>
    </row>
    <row r="10" spans="1:15" s="174" customFormat="1" x14ac:dyDescent="0.25">
      <c r="A10" s="17">
        <f t="shared" si="0"/>
        <v>9</v>
      </c>
      <c r="B10" s="17"/>
      <c r="C10" s="215" t="str">
        <f t="shared" si="1"/>
        <v>LED Driver</v>
      </c>
      <c r="D10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 xml:space="preserve">LED Driver     </v>
      </c>
      <c r="E10" s="17"/>
      <c r="F10" s="17"/>
      <c r="G10" s="17"/>
      <c r="H10" s="17"/>
      <c r="I10" s="17"/>
      <c r="J10" s="17"/>
      <c r="K10" s="17"/>
      <c r="L10" s="17"/>
      <c r="M10" s="17"/>
      <c r="N10" s="17">
        <f>LEDDrivers[[#This Row],[Footprint]]</f>
        <v>0</v>
      </c>
      <c r="O10" s="17"/>
    </row>
    <row r="11" spans="1:15" s="174" customFormat="1" x14ac:dyDescent="0.25">
      <c r="A11" s="17">
        <f t="shared" si="0"/>
        <v>10</v>
      </c>
      <c r="B11" s="17"/>
      <c r="C11" s="215" t="str">
        <f t="shared" si="1"/>
        <v>LED Driver</v>
      </c>
      <c r="D11" s="242" t="str">
        <f>CONCATENATE(LEDDrivers[[#This Row],[Category]]," ",LEDDrivers[[#This Row],[Type]]," ",LEDDrivers[[#This Row],[Total Channel Count]]," ",LEDDrivers[[#This Row],[Output Current/Channel(A)]]," ",LEDDrivers[[#This Row],[Footprint]]," ",LEDDrivers[[#This Row],[Rating]])</f>
        <v xml:space="preserve">LED Driver     </v>
      </c>
      <c r="E11" s="17"/>
      <c r="F11" s="17"/>
      <c r="G11" s="17"/>
      <c r="H11" s="17"/>
      <c r="I11" s="17"/>
      <c r="J11" s="17"/>
      <c r="K11" s="17"/>
      <c r="L11" s="17"/>
      <c r="M11" s="17"/>
      <c r="N11" s="17">
        <f>LEDDrivers[[#This Row],[Footprint]]</f>
        <v>0</v>
      </c>
      <c r="O11" s="17"/>
    </row>
  </sheetData>
  <dataValidations count="5">
    <dataValidation type="list" allowBlank="1" showInputMessage="1" showErrorMessage="1" sqref="K2:K11">
      <formula1>Rating_List</formula1>
    </dataValidation>
    <dataValidation type="list" allowBlank="1" showInputMessage="1" showErrorMessage="1" sqref="M2:M11">
      <formula1>Symbols_LEDDrivers</formula1>
    </dataValidation>
    <dataValidation type="list" allowBlank="1" showInputMessage="1" showErrorMessage="1" sqref="H2:H11">
      <formula1>Footprints_LEDDrivers</formula1>
    </dataValidation>
    <dataValidation type="list" allowBlank="1" showInputMessage="1" showErrorMessage="1" sqref="L2:L11">
      <formula1>Process_List</formula1>
    </dataValidation>
    <dataValidation type="list" allowBlank="1" showInputMessage="1" showErrorMessage="1" sqref="J2:J11">
      <formula1>Manufacturers_LEDDrivers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11"/>
  <sheetViews>
    <sheetView topLeftCell="C1" zoomScale="70" zoomScaleNormal="70" workbookViewId="0">
      <selection activeCell="H7" sqref="H7"/>
    </sheetView>
  </sheetViews>
  <sheetFormatPr defaultRowHeight="15" x14ac:dyDescent="0.25"/>
  <cols>
    <col min="1" max="1" width="5.140625" bestFit="1" customWidth="1"/>
    <col min="2" max="2" width="11" style="173" bestFit="1" customWidth="1"/>
    <col min="3" max="3" width="11.140625" style="173" bestFit="1" customWidth="1"/>
    <col min="4" max="4" width="53.85546875" style="173" bestFit="1" customWidth="1"/>
    <col min="5" max="5" width="16.5703125" style="173" bestFit="1" customWidth="1"/>
    <col min="6" max="6" width="15.42578125" style="173" bestFit="1" customWidth="1"/>
    <col min="7" max="7" width="17.7109375" style="173" bestFit="1" customWidth="1"/>
    <col min="8" max="8" width="25.7109375" style="173" bestFit="1" customWidth="1"/>
    <col min="9" max="9" width="23.85546875" style="173" bestFit="1" customWidth="1"/>
    <col min="10" max="10" width="15.42578125" style="173" bestFit="1" customWidth="1"/>
    <col min="11" max="11" width="11.5703125" bestFit="1" customWidth="1"/>
    <col min="12" max="12" width="22.28515625" bestFit="1" customWidth="1"/>
    <col min="13" max="13" width="15.5703125" bestFit="1" customWidth="1"/>
    <col min="14" max="14" width="10.7109375" bestFit="1" customWidth="1"/>
    <col min="15" max="15" width="10" bestFit="1" customWidth="1"/>
    <col min="16" max="16" width="22.85546875" bestFit="1" customWidth="1"/>
    <col min="17" max="17" width="20" bestFit="1" customWidth="1"/>
  </cols>
  <sheetData>
    <row r="1" spans="1:17" x14ac:dyDescent="0.25">
      <c r="A1" t="s">
        <v>0</v>
      </c>
      <c r="B1" s="7" t="s">
        <v>67</v>
      </c>
      <c r="C1" s="173" t="s">
        <v>7</v>
      </c>
      <c r="D1" t="s">
        <v>8</v>
      </c>
      <c r="E1" s="7" t="s">
        <v>1431</v>
      </c>
      <c r="F1" s="7" t="s">
        <v>1558</v>
      </c>
      <c r="G1" s="7" t="s">
        <v>1557</v>
      </c>
      <c r="H1" s="7" t="s">
        <v>1560</v>
      </c>
      <c r="I1" s="7" t="s">
        <v>1432</v>
      </c>
      <c r="J1" s="7" t="s">
        <v>1433</v>
      </c>
      <c r="K1" s="7" t="s">
        <v>18</v>
      </c>
      <c r="L1" s="7" t="s">
        <v>2</v>
      </c>
      <c r="M1" s="7" t="s">
        <v>1</v>
      </c>
      <c r="N1" s="7" t="s">
        <v>6</v>
      </c>
      <c r="O1" s="7" t="s">
        <v>5</v>
      </c>
      <c r="P1" s="7" t="s">
        <v>3</v>
      </c>
      <c r="Q1" t="s">
        <v>4</v>
      </c>
    </row>
    <row r="2" spans="1:17" x14ac:dyDescent="0.25">
      <c r="A2" s="174">
        <f t="shared" ref="A2:A11" si="0">ROW()-1</f>
        <v>1</v>
      </c>
      <c r="B2" s="174"/>
      <c r="C2" s="174" t="str">
        <f>"MCU"</f>
        <v>MCU</v>
      </c>
      <c r="D2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>MCU ARM-M3 32-Bit 72MHz 64KB Flash LQFP-48 STD</v>
      </c>
      <c r="E2" s="174" t="s">
        <v>1446</v>
      </c>
      <c r="F2" s="174" t="s">
        <v>1559</v>
      </c>
      <c r="G2" s="174" t="s">
        <v>1447</v>
      </c>
      <c r="H2" s="174" t="s">
        <v>1448</v>
      </c>
      <c r="I2" s="174" t="s">
        <v>1449</v>
      </c>
      <c r="J2" s="174" t="s">
        <v>1418</v>
      </c>
      <c r="K2" s="174" t="s">
        <v>1435</v>
      </c>
      <c r="L2" s="174" t="s">
        <v>1434</v>
      </c>
      <c r="M2" s="51" t="s">
        <v>1445</v>
      </c>
      <c r="N2" s="174" t="s">
        <v>1561</v>
      </c>
      <c r="O2" s="174" t="s">
        <v>10</v>
      </c>
      <c r="P2" s="174" t="s">
        <v>1437</v>
      </c>
      <c r="Q2" s="174" t="str">
        <f>Microcontrollers[[#This Row],[Footprint]]</f>
        <v>LQFP-48</v>
      </c>
    </row>
    <row r="3" spans="1:17" x14ac:dyDescent="0.25">
      <c r="A3" s="174">
        <f t="shared" si="0"/>
        <v>2</v>
      </c>
      <c r="B3" s="174"/>
      <c r="C3" s="174" t="str">
        <f t="shared" ref="C3:C11" si="1">"MCU"</f>
        <v>MCU</v>
      </c>
      <c r="D3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>MCU PIC 16-Bit 32Mhz 3.5KB Flash SOIC-8 STD</v>
      </c>
      <c r="E3" s="174" t="s">
        <v>1691</v>
      </c>
      <c r="F3" s="174" t="s">
        <v>1694</v>
      </c>
      <c r="G3" s="174" t="s">
        <v>1692</v>
      </c>
      <c r="H3" s="174" t="s">
        <v>1693</v>
      </c>
      <c r="I3" s="174" t="s">
        <v>1449</v>
      </c>
      <c r="J3" s="174" t="s">
        <v>1418</v>
      </c>
      <c r="K3" s="174" t="s">
        <v>1684</v>
      </c>
      <c r="L3" s="174" t="s">
        <v>1702</v>
      </c>
      <c r="M3" s="51" t="s">
        <v>1685</v>
      </c>
      <c r="N3" s="174" t="s">
        <v>1561</v>
      </c>
      <c r="O3" s="174" t="s">
        <v>10</v>
      </c>
      <c r="P3" s="174" t="s">
        <v>1682</v>
      </c>
      <c r="Q3" s="174" t="str">
        <f>Microcontrollers[[#This Row],[Footprint]]</f>
        <v>SOIC-8</v>
      </c>
    </row>
    <row r="4" spans="1:17" x14ac:dyDescent="0.25">
      <c r="A4" s="174">
        <f t="shared" si="0"/>
        <v>3</v>
      </c>
      <c r="B4" s="44" t="s">
        <v>1703</v>
      </c>
      <c r="C4" s="174" t="str">
        <f t="shared" si="1"/>
        <v>MCU</v>
      </c>
      <c r="D4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4" s="174"/>
      <c r="F4" s="174"/>
      <c r="G4" s="174"/>
      <c r="H4" s="174"/>
      <c r="I4" s="174"/>
      <c r="J4" s="174"/>
      <c r="K4" s="174"/>
      <c r="L4" s="174"/>
      <c r="M4" s="51"/>
      <c r="N4" s="174"/>
      <c r="O4" s="174"/>
      <c r="P4" s="174"/>
      <c r="Q4" s="174">
        <f>Microcontrollers[[#This Row],[Footprint]]</f>
        <v>0</v>
      </c>
    </row>
    <row r="5" spans="1:17" x14ac:dyDescent="0.25">
      <c r="A5" s="174">
        <f t="shared" si="0"/>
        <v>4</v>
      </c>
      <c r="B5" s="174"/>
      <c r="C5" s="174" t="str">
        <f t="shared" si="1"/>
        <v>MCU</v>
      </c>
      <c r="D5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5" s="174"/>
      <c r="F5" s="174"/>
      <c r="G5" s="174"/>
      <c r="H5" s="174"/>
      <c r="I5" s="174"/>
      <c r="J5" s="174"/>
      <c r="K5" s="174"/>
      <c r="L5" s="174"/>
      <c r="M5" s="51"/>
      <c r="N5" s="174"/>
      <c r="O5" s="174"/>
      <c r="P5" s="174"/>
      <c r="Q5" s="174">
        <f>Microcontrollers[[#This Row],[Footprint]]</f>
        <v>0</v>
      </c>
    </row>
    <row r="6" spans="1:17" x14ac:dyDescent="0.25">
      <c r="A6" s="174">
        <f t="shared" si="0"/>
        <v>5</v>
      </c>
      <c r="B6" s="174"/>
      <c r="C6" s="174" t="str">
        <f t="shared" si="1"/>
        <v>MCU</v>
      </c>
      <c r="D6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>
        <f>Microcontrollers[[#This Row],[Footprint]]</f>
        <v>0</v>
      </c>
    </row>
    <row r="7" spans="1:17" x14ac:dyDescent="0.25">
      <c r="A7" s="174">
        <f t="shared" si="0"/>
        <v>6</v>
      </c>
      <c r="B7" s="174"/>
      <c r="C7" s="174" t="str">
        <f t="shared" si="1"/>
        <v>MCU</v>
      </c>
      <c r="D7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>
        <f>Microcontrollers[[#This Row],[Footprint]]</f>
        <v>0</v>
      </c>
    </row>
    <row r="8" spans="1:17" x14ac:dyDescent="0.25">
      <c r="A8" s="174">
        <f t="shared" si="0"/>
        <v>7</v>
      </c>
      <c r="B8" s="174"/>
      <c r="C8" s="174" t="str">
        <f t="shared" si="1"/>
        <v>MCU</v>
      </c>
      <c r="D8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>
        <f>Microcontrollers[[#This Row],[Footprint]]</f>
        <v>0</v>
      </c>
    </row>
    <row r="9" spans="1:17" x14ac:dyDescent="0.25">
      <c r="A9" s="174">
        <f t="shared" si="0"/>
        <v>8</v>
      </c>
      <c r="B9" s="174"/>
      <c r="C9" s="174" t="str">
        <f t="shared" si="1"/>
        <v>MCU</v>
      </c>
      <c r="D9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>
        <f>Microcontrollers[[#This Row],[Footprint]]</f>
        <v>0</v>
      </c>
    </row>
    <row r="10" spans="1:17" x14ac:dyDescent="0.25">
      <c r="A10" s="174">
        <f t="shared" si="0"/>
        <v>9</v>
      </c>
      <c r="B10" s="174"/>
      <c r="C10" s="174" t="str">
        <f t="shared" si="1"/>
        <v>MCU</v>
      </c>
      <c r="D10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>
        <f>Microcontrollers[[#This Row],[Footprint]]</f>
        <v>0</v>
      </c>
    </row>
    <row r="11" spans="1:17" x14ac:dyDescent="0.25">
      <c r="A11" s="174">
        <f t="shared" si="0"/>
        <v>10</v>
      </c>
      <c r="B11" s="174"/>
      <c r="C11" s="174" t="str">
        <f t="shared" si="1"/>
        <v>MCU</v>
      </c>
      <c r="D11" s="8" t="str">
        <f>CONCATENATE(Microcontrollers[[#This Row],[Category]]," ",Microcontrollers[[#This Row],[Core Processor]]," ",Microcontrollers[[#This Row],[Core Size(Bit)]]," ",Microcontrollers[[#This Row],[Clock Speed(Hz)]]," ",Microcontrollers[[#This Row],[Program Memory Size(B)]]," ",Microcontrollers[[#This Row],[Program Memory Type]]," ",Microcontrollers[[#This Row],[Footprint]]," ",Microcontrollers[[#This Row],[Rating]])</f>
        <v xml:space="preserve">MCU       </v>
      </c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>
        <f>Microcontrollers[[#This Row],[Footprint]]</f>
        <v>0</v>
      </c>
    </row>
  </sheetData>
  <dataValidations count="5">
    <dataValidation type="list" allowBlank="1" showInputMessage="1" showErrorMessage="1" sqref="K2:K11">
      <formula1>Footprints_MCUs</formula1>
    </dataValidation>
    <dataValidation type="list" allowBlank="1" showInputMessage="1" showErrorMessage="1" sqref="M2:M11">
      <formula1>Manufacturers_MCUs</formula1>
    </dataValidation>
    <dataValidation type="list" allowBlank="1" showInputMessage="1" showErrorMessage="1" sqref="N2:N11">
      <formula1>Rating_List</formula1>
    </dataValidation>
    <dataValidation type="list" allowBlank="1" showInputMessage="1" showErrorMessage="1" sqref="O2:O11">
      <formula1>Process_List</formula1>
    </dataValidation>
    <dataValidation type="list" allowBlank="1" showInputMessage="1" showErrorMessage="1" sqref="P2:P11">
      <formula1>Symbols_MCUs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1"/>
  <sheetViews>
    <sheetView workbookViewId="0">
      <selection activeCell="B9" sqref="B9"/>
    </sheetView>
  </sheetViews>
  <sheetFormatPr defaultRowHeight="15" x14ac:dyDescent="0.25"/>
  <cols>
    <col min="1" max="1" width="5.140625" bestFit="1" customWidth="1"/>
    <col min="2" max="2" width="11" style="173" bestFit="1" customWidth="1"/>
    <col min="3" max="3" width="25.7109375" bestFit="1" customWidth="1"/>
    <col min="4" max="4" width="58" bestFit="1" customWidth="1"/>
    <col min="5" max="5" width="11.5703125" bestFit="1" customWidth="1"/>
    <col min="6" max="6" width="20.42578125" style="173" bestFit="1" customWidth="1"/>
    <col min="7" max="7" width="17.42578125" bestFit="1" customWidth="1"/>
    <col min="8" max="8" width="10.7109375" bestFit="1" customWidth="1"/>
    <col min="9" max="9" width="10" bestFit="1" customWidth="1"/>
    <col min="10" max="10" width="20.7109375" bestFit="1" customWidth="1"/>
    <col min="11" max="11" width="15" bestFit="1" customWidth="1"/>
  </cols>
  <sheetData>
    <row r="1" spans="1:11" x14ac:dyDescent="0.25">
      <c r="A1" t="s">
        <v>0</v>
      </c>
      <c r="B1" s="7" t="s">
        <v>67</v>
      </c>
      <c r="C1" s="7" t="s">
        <v>7</v>
      </c>
      <c r="D1" t="s">
        <v>8</v>
      </c>
      <c r="E1" s="7" t="s">
        <v>18</v>
      </c>
      <c r="F1" s="7" t="s">
        <v>2</v>
      </c>
      <c r="G1" s="7" t="s">
        <v>1</v>
      </c>
      <c r="H1" s="7" t="s">
        <v>6</v>
      </c>
      <c r="I1" s="7" t="s">
        <v>5</v>
      </c>
      <c r="J1" s="7" t="s">
        <v>3</v>
      </c>
      <c r="K1" t="s">
        <v>4</v>
      </c>
    </row>
    <row r="2" spans="1:11" x14ac:dyDescent="0.25">
      <c r="A2" s="1">
        <f>ROW()-1</f>
        <v>1</v>
      </c>
      <c r="B2" s="174">
        <v>0</v>
      </c>
      <c r="C2" t="s">
        <v>1427</v>
      </c>
      <c r="D2" s="3" t="str">
        <f>CONCATENATE(Others[[#This Row],[Category]]," ",Others[[#This Row],[Part Number]]," ",Others[[#This Row],[Footprint]]," ",Others[[#This Row],[Rating]])</f>
        <v>MOTOR DRIVER DRV8825PWP HTSSOP-28 STD</v>
      </c>
      <c r="E2" s="173" t="s">
        <v>1428</v>
      </c>
      <c r="F2" t="s">
        <v>1426</v>
      </c>
      <c r="G2" s="2" t="s">
        <v>1429</v>
      </c>
      <c r="H2" t="s">
        <v>1561</v>
      </c>
      <c r="I2" t="s">
        <v>10</v>
      </c>
      <c r="J2" t="s">
        <v>1430</v>
      </c>
      <c r="K2" t="str">
        <f>Others[[#This Row],[Footprint]]</f>
        <v>HTSSOP-28</v>
      </c>
    </row>
    <row r="3" spans="1:11" x14ac:dyDescent="0.25">
      <c r="A3" s="174">
        <f t="shared" ref="A3:A11" si="0">ROW()-1</f>
        <v>2</v>
      </c>
      <c r="B3" s="174">
        <v>1</v>
      </c>
      <c r="C3" t="s">
        <v>1441</v>
      </c>
      <c r="D3" s="175" t="str">
        <f>CONCATENATE(Others[[#This Row],[Category]]," ",Others[[#This Row],[Part Number]]," ",Others[[#This Row],[Footprint]]," ",Others[[#This Row],[Rating]])</f>
        <v>Digital Temperature Sensor TMP112AIDRLR SOT-563 STD</v>
      </c>
      <c r="E3" s="173" t="s">
        <v>1440</v>
      </c>
      <c r="F3" t="s">
        <v>1442</v>
      </c>
      <c r="G3" s="2" t="s">
        <v>1429</v>
      </c>
      <c r="H3" t="s">
        <v>1561</v>
      </c>
      <c r="I3" t="s">
        <v>10</v>
      </c>
      <c r="J3" t="s">
        <v>1439</v>
      </c>
      <c r="K3" s="173" t="str">
        <f>Others[[#This Row],[Footprint]]</f>
        <v>SOT-563</v>
      </c>
    </row>
    <row r="4" spans="1:11" x14ac:dyDescent="0.25">
      <c r="A4" s="174">
        <f t="shared" si="0"/>
        <v>3</v>
      </c>
      <c r="B4" s="44" t="s">
        <v>1623</v>
      </c>
      <c r="C4" t="s">
        <v>1622</v>
      </c>
      <c r="D4" s="175" t="str">
        <f>CONCATENATE(Others[[#This Row],[Category]]," ",Others[[#This Row],[Part Number]]," ",Others[[#This Row],[Footprint]]," ",Others[[#This Row],[Rating]])</f>
        <v>Quad 2-input multiplexer 74HC157PW-Q100 SOT403-1 AECQ</v>
      </c>
      <c r="E4" s="173" t="s">
        <v>1620</v>
      </c>
      <c r="F4" t="s">
        <v>1621</v>
      </c>
      <c r="G4" s="2" t="s">
        <v>170</v>
      </c>
      <c r="H4" t="s">
        <v>11</v>
      </c>
      <c r="I4" t="s">
        <v>10</v>
      </c>
      <c r="K4" s="173" t="str">
        <f>Others[[#This Row],[Footprint]]</f>
        <v>SOT403-1</v>
      </c>
    </row>
    <row r="5" spans="1:11" x14ac:dyDescent="0.25">
      <c r="A5" s="174">
        <f t="shared" si="0"/>
        <v>4</v>
      </c>
      <c r="B5" s="44" t="s">
        <v>1672</v>
      </c>
      <c r="C5" s="173" t="s">
        <v>1622</v>
      </c>
      <c r="D5" s="175" t="str">
        <f>CONCATENATE(Others[[#This Row],[Category]]," ",Others[[#This Row],[Part Number]]," ",Others[[#This Row],[Footprint]]," ",Others[[#This Row],[Rating]])</f>
        <v>Quad 2-input multiplexer SN74HCS157PW-Q1 TSSOP-16 AECQ</v>
      </c>
      <c r="E5" s="173" t="s">
        <v>1673</v>
      </c>
      <c r="F5" t="s">
        <v>1671</v>
      </c>
      <c r="G5" s="2" t="s">
        <v>1429</v>
      </c>
      <c r="H5" s="173" t="s">
        <v>11</v>
      </c>
      <c r="I5" s="173" t="s">
        <v>10</v>
      </c>
      <c r="K5" s="173" t="str">
        <f>Others[[#This Row],[Footprint]]</f>
        <v>TSSOP-16</v>
      </c>
    </row>
    <row r="6" spans="1:11" x14ac:dyDescent="0.25">
      <c r="A6" s="174">
        <f t="shared" si="0"/>
        <v>5</v>
      </c>
      <c r="D6" s="175" t="str">
        <f>CONCATENATE(Others[[#This Row],[Category]]," ",Others[[#This Row],[Part Number]]," ",Others[[#This Row],[Footprint]]," ",Others[[#This Row],[Rating]])</f>
        <v xml:space="preserve">   </v>
      </c>
      <c r="E6" s="173"/>
      <c r="F6"/>
      <c r="K6" s="173">
        <f>Others[[#This Row],[Footprint]]</f>
        <v>0</v>
      </c>
    </row>
    <row r="7" spans="1:11" x14ac:dyDescent="0.25">
      <c r="A7" s="174">
        <f t="shared" si="0"/>
        <v>6</v>
      </c>
      <c r="D7" s="175" t="str">
        <f>CONCATENATE(Others[[#This Row],[Category]]," ",Others[[#This Row],[Part Number]]," ",Others[[#This Row],[Footprint]]," ",Others[[#This Row],[Rating]])</f>
        <v xml:space="preserve">   </v>
      </c>
      <c r="E7" s="173"/>
      <c r="F7"/>
      <c r="K7" s="173">
        <f>Others[[#This Row],[Footprint]]</f>
        <v>0</v>
      </c>
    </row>
    <row r="8" spans="1:11" x14ac:dyDescent="0.25">
      <c r="A8" s="174">
        <f t="shared" si="0"/>
        <v>7</v>
      </c>
      <c r="D8" s="175" t="str">
        <f>CONCATENATE(Others[[#This Row],[Category]]," ",Others[[#This Row],[Part Number]]," ",Others[[#This Row],[Footprint]]," ",Others[[#This Row],[Rating]])</f>
        <v xml:space="preserve">   </v>
      </c>
      <c r="E8" s="173"/>
      <c r="F8"/>
      <c r="K8" s="173">
        <f>Others[[#This Row],[Footprint]]</f>
        <v>0</v>
      </c>
    </row>
    <row r="9" spans="1:11" x14ac:dyDescent="0.25">
      <c r="A9" s="174">
        <f t="shared" si="0"/>
        <v>8</v>
      </c>
      <c r="D9" s="175" t="str">
        <f>CONCATENATE(Others[[#This Row],[Category]]," ",Others[[#This Row],[Part Number]]," ",Others[[#This Row],[Footprint]]," ",Others[[#This Row],[Rating]])</f>
        <v xml:space="preserve">   </v>
      </c>
      <c r="E9" s="173"/>
      <c r="F9"/>
      <c r="K9" s="173">
        <f>Others[[#This Row],[Footprint]]</f>
        <v>0</v>
      </c>
    </row>
    <row r="10" spans="1:11" x14ac:dyDescent="0.25">
      <c r="A10" s="174">
        <f t="shared" si="0"/>
        <v>9</v>
      </c>
      <c r="D10" s="175" t="str">
        <f>CONCATENATE(Others[[#This Row],[Category]]," ",Others[[#This Row],[Part Number]]," ",Others[[#This Row],[Footprint]]," ",Others[[#This Row],[Rating]])</f>
        <v xml:space="preserve">   </v>
      </c>
      <c r="E10" s="173"/>
      <c r="F10"/>
      <c r="K10" s="173">
        <f>Others[[#This Row],[Footprint]]</f>
        <v>0</v>
      </c>
    </row>
    <row r="11" spans="1:11" x14ac:dyDescent="0.25">
      <c r="A11" s="174">
        <f t="shared" si="0"/>
        <v>10</v>
      </c>
      <c r="D11" s="175" t="str">
        <f>CONCATENATE(Others[[#This Row],[Category]]," ",Others[[#This Row],[Part Number]]," ",Others[[#This Row],[Footprint]]," ",Others[[#This Row],[Rating]])</f>
        <v xml:space="preserve">   </v>
      </c>
      <c r="E11" s="173"/>
      <c r="F11"/>
      <c r="K11" s="173">
        <f>Others[[#This Row],[Footprint]]</f>
        <v>0</v>
      </c>
    </row>
  </sheetData>
  <dataValidations count="5">
    <dataValidation type="list" allowBlank="1" showInputMessage="1" showErrorMessage="1" sqref="E2:E11">
      <formula1>Footprints_OtherICs</formula1>
    </dataValidation>
    <dataValidation type="list" allowBlank="1" showInputMessage="1" showErrorMessage="1" sqref="G2:G11">
      <formula1>Manufacturers_OtherICs</formula1>
    </dataValidation>
    <dataValidation type="list" allowBlank="1" showInputMessage="1" showErrorMessage="1" sqref="H2:H11">
      <formula1>Rating_List</formula1>
    </dataValidation>
    <dataValidation type="list" allowBlank="1" showInputMessage="1" showErrorMessage="1" sqref="I2:I11">
      <formula1>Process_List</formula1>
    </dataValidation>
    <dataValidation type="list" allowBlank="1" showInputMessage="1" showErrorMessage="1" sqref="J2:J11">
      <formula1>Symbols_OtherICs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1"/>
  <sheetViews>
    <sheetView zoomScale="85" zoomScaleNormal="85" workbookViewId="0">
      <selection activeCell="N7" sqref="N7"/>
    </sheetView>
  </sheetViews>
  <sheetFormatPr defaultRowHeight="15" x14ac:dyDescent="0.25"/>
  <cols>
    <col min="1" max="1" width="5.140625" bestFit="1" customWidth="1"/>
    <col min="2" max="3" width="12.140625" style="45" bestFit="1" customWidth="1"/>
    <col min="4" max="4" width="56.28515625" customWidth="1"/>
    <col min="5" max="5" width="10" bestFit="1" customWidth="1"/>
    <col min="6" max="6" width="11.85546875" bestFit="1" customWidth="1"/>
    <col min="7" max="7" width="12.5703125" bestFit="1" customWidth="1"/>
    <col min="8" max="8" width="8" bestFit="1" customWidth="1"/>
    <col min="9" max="9" width="22.42578125" bestFit="1" customWidth="1"/>
    <col min="10" max="10" width="34.5703125" bestFit="1" customWidth="1"/>
    <col min="11" max="11" width="15.5703125" bestFit="1" customWidth="1"/>
    <col min="12" max="12" width="8.85546875" bestFit="1" customWidth="1"/>
    <col min="13" max="13" width="10" bestFit="1" customWidth="1"/>
    <col min="14" max="14" width="21.140625" bestFit="1" customWidth="1"/>
    <col min="15" max="15" width="22.42578125" bestFit="1" customWidth="1"/>
  </cols>
  <sheetData>
    <row r="1" spans="1:15" x14ac:dyDescent="0.25">
      <c r="A1" t="s">
        <v>0</v>
      </c>
      <c r="B1" s="7" t="s">
        <v>67</v>
      </c>
      <c r="C1" s="7" t="s">
        <v>7</v>
      </c>
      <c r="D1" t="s">
        <v>8</v>
      </c>
      <c r="E1" s="7" t="s">
        <v>369</v>
      </c>
      <c r="F1" s="7" t="s">
        <v>17</v>
      </c>
      <c r="G1" s="7" t="s">
        <v>370</v>
      </c>
      <c r="H1" s="7" t="s">
        <v>371</v>
      </c>
      <c r="I1" s="7" t="s">
        <v>18</v>
      </c>
      <c r="J1" s="7" t="s">
        <v>2</v>
      </c>
      <c r="K1" s="7" t="s">
        <v>1</v>
      </c>
      <c r="L1" s="7" t="s">
        <v>6</v>
      </c>
      <c r="M1" s="7" t="s">
        <v>5</v>
      </c>
      <c r="N1" s="7" t="s">
        <v>3</v>
      </c>
      <c r="O1" s="45" t="s">
        <v>4</v>
      </c>
    </row>
    <row r="2" spans="1:15" x14ac:dyDescent="0.25">
      <c r="A2" s="17">
        <f t="shared" ref="A2:A11" si="0">ROW()-1</f>
        <v>1</v>
      </c>
      <c r="B2" s="150" t="s">
        <v>372</v>
      </c>
      <c r="C2" s="17" t="str">
        <f t="shared" ref="C2:C11" si="1">"CON"</f>
        <v>CON</v>
      </c>
      <c r="D2" s="215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>CON Male 2-Pin 2mm Natural AECQ</v>
      </c>
      <c r="E2" s="215" t="s">
        <v>378</v>
      </c>
      <c r="F2" s="140">
        <v>2</v>
      </c>
      <c r="G2" s="17" t="s">
        <v>379</v>
      </c>
      <c r="H2" s="17" t="s">
        <v>380</v>
      </c>
      <c r="I2" s="17"/>
      <c r="J2" s="17" t="s">
        <v>381</v>
      </c>
      <c r="K2" s="217" t="s">
        <v>373</v>
      </c>
      <c r="L2" s="17" t="s">
        <v>11</v>
      </c>
      <c r="M2" t="s">
        <v>10</v>
      </c>
      <c r="N2" s="17"/>
      <c r="O2" s="17">
        <f>Connectors_PinHeaders[[#This Row],[Footprint]]</f>
        <v>0</v>
      </c>
    </row>
    <row r="3" spans="1:15" x14ac:dyDescent="0.25">
      <c r="A3" s="17">
        <f t="shared" si="0"/>
        <v>2</v>
      </c>
      <c r="B3" s="150" t="s">
        <v>382</v>
      </c>
      <c r="C3" s="17" t="str">
        <f t="shared" si="1"/>
        <v>CON</v>
      </c>
      <c r="D3" s="215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>CON Male 8-Pin 2mm Black AECQ</v>
      </c>
      <c r="E3" s="215" t="s">
        <v>378</v>
      </c>
      <c r="F3" s="140">
        <v>8</v>
      </c>
      <c r="G3" s="17" t="s">
        <v>379</v>
      </c>
      <c r="H3" s="17" t="s">
        <v>384</v>
      </c>
      <c r="I3" s="17"/>
      <c r="J3" s="216" t="s">
        <v>385</v>
      </c>
      <c r="K3" s="217" t="s">
        <v>373</v>
      </c>
      <c r="L3" s="17" t="s">
        <v>11</v>
      </c>
      <c r="M3" t="s">
        <v>10</v>
      </c>
      <c r="N3" s="17"/>
      <c r="O3" s="17">
        <f>Connectors_PinHeaders[[#This Row],[Footprint]]</f>
        <v>0</v>
      </c>
    </row>
    <row r="4" spans="1:15" x14ac:dyDescent="0.25">
      <c r="A4" s="17">
        <f t="shared" si="0"/>
        <v>3</v>
      </c>
      <c r="B4" s="150" t="s">
        <v>383</v>
      </c>
      <c r="C4" s="17" t="str">
        <f t="shared" si="1"/>
        <v>CON</v>
      </c>
      <c r="D4" s="215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>CON Male 2-Pin 2mm Black AECQ</v>
      </c>
      <c r="E4" s="215" t="s">
        <v>378</v>
      </c>
      <c r="F4" s="140">
        <v>2</v>
      </c>
      <c r="G4" s="17" t="s">
        <v>379</v>
      </c>
      <c r="H4" s="17" t="s">
        <v>384</v>
      </c>
      <c r="I4" s="17"/>
      <c r="J4" s="216" t="s">
        <v>386</v>
      </c>
      <c r="K4" s="217" t="s">
        <v>373</v>
      </c>
      <c r="L4" s="17" t="s">
        <v>11</v>
      </c>
      <c r="M4" t="s">
        <v>10</v>
      </c>
      <c r="N4" s="17"/>
      <c r="O4" s="17">
        <f>Connectors_PinHeaders[[#This Row],[Footprint]]</f>
        <v>0</v>
      </c>
    </row>
    <row r="5" spans="1:15" x14ac:dyDescent="0.25">
      <c r="A5" s="17">
        <f t="shared" si="0"/>
        <v>4</v>
      </c>
      <c r="B5" s="150" t="s">
        <v>407</v>
      </c>
      <c r="C5" s="17" t="str">
        <f t="shared" si="1"/>
        <v>CON</v>
      </c>
      <c r="D5" s="215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>CON Male 8-Pin 2mm Black AECQ</v>
      </c>
      <c r="E5" s="215" t="s">
        <v>378</v>
      </c>
      <c r="F5" s="140">
        <v>8</v>
      </c>
      <c r="G5" s="17" t="s">
        <v>379</v>
      </c>
      <c r="H5" s="17" t="s">
        <v>384</v>
      </c>
      <c r="I5" s="17"/>
      <c r="J5" s="17" t="s">
        <v>408</v>
      </c>
      <c r="K5" s="217" t="s">
        <v>373</v>
      </c>
      <c r="L5" s="17" t="s">
        <v>11</v>
      </c>
      <c r="M5" t="s">
        <v>10</v>
      </c>
      <c r="N5" s="17"/>
      <c r="O5" s="17">
        <f>Connectors_PinHeaders[[#This Row],[Footprint]]</f>
        <v>0</v>
      </c>
    </row>
    <row r="6" spans="1:15" x14ac:dyDescent="0.25">
      <c r="A6" s="17">
        <f t="shared" si="0"/>
        <v>5</v>
      </c>
      <c r="B6" s="150" t="s">
        <v>1409</v>
      </c>
      <c r="C6" s="17" t="str">
        <f t="shared" si="1"/>
        <v>CON</v>
      </c>
      <c r="D6" s="17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>CON Male 4-Pin 2mm Natural AECQ</v>
      </c>
      <c r="E6" s="215" t="s">
        <v>378</v>
      </c>
      <c r="F6" s="147">
        <v>4</v>
      </c>
      <c r="G6" s="17" t="s">
        <v>379</v>
      </c>
      <c r="H6" s="17" t="s">
        <v>380</v>
      </c>
      <c r="I6" s="17" t="s">
        <v>1411</v>
      </c>
      <c r="J6" s="17" t="s">
        <v>1410</v>
      </c>
      <c r="K6" s="217" t="s">
        <v>373</v>
      </c>
      <c r="L6" s="17" t="s">
        <v>11</v>
      </c>
      <c r="M6" t="s">
        <v>10</v>
      </c>
      <c r="N6" s="17" t="s">
        <v>1412</v>
      </c>
      <c r="O6" s="17" t="str">
        <f>Connectors_PinHeaders[[#This Row],[Footprint]]</f>
        <v>5023520400-Footprint-1</v>
      </c>
    </row>
    <row r="7" spans="1:15" x14ac:dyDescent="0.25">
      <c r="A7" s="17">
        <f t="shared" si="0"/>
        <v>6</v>
      </c>
      <c r="B7" s="17"/>
      <c r="C7" s="17" t="str">
        <f t="shared" si="1"/>
        <v>CON</v>
      </c>
      <c r="D7" s="17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>CON Male 2-Pin 2.5mm Natural STD</v>
      </c>
      <c r="E7" s="17" t="s">
        <v>378</v>
      </c>
      <c r="F7" s="147">
        <v>2</v>
      </c>
      <c r="G7" s="17" t="s">
        <v>1747</v>
      </c>
      <c r="H7" s="17" t="s">
        <v>380</v>
      </c>
      <c r="I7" s="17" t="s">
        <v>1748</v>
      </c>
      <c r="J7" s="17" t="s">
        <v>1751</v>
      </c>
      <c r="K7" s="217" t="s">
        <v>1750</v>
      </c>
      <c r="L7" s="17" t="s">
        <v>1561</v>
      </c>
      <c r="M7" t="s">
        <v>1418</v>
      </c>
      <c r="N7" s="17" t="s">
        <v>1749</v>
      </c>
      <c r="O7" s="17" t="str">
        <f>Connectors_PinHeaders[[#This Row],[Footprint]]</f>
        <v>MFMP 7238 - 202 - W60</v>
      </c>
    </row>
    <row r="8" spans="1:15" x14ac:dyDescent="0.25">
      <c r="A8" s="17">
        <f t="shared" si="0"/>
        <v>7</v>
      </c>
      <c r="B8" s="17"/>
      <c r="C8" s="17" t="str">
        <f t="shared" si="1"/>
        <v>CON</v>
      </c>
      <c r="D8" s="17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 xml:space="preserve">CON  -Pin   </v>
      </c>
      <c r="E8" s="17"/>
      <c r="F8" s="147"/>
      <c r="G8" s="17"/>
      <c r="H8" s="17"/>
      <c r="I8" s="17"/>
      <c r="J8" s="17"/>
      <c r="K8" s="217"/>
      <c r="L8" s="17"/>
      <c r="N8" s="17"/>
      <c r="O8" s="17">
        <f>Connectors_PinHeaders[[#This Row],[Footprint]]</f>
        <v>0</v>
      </c>
    </row>
    <row r="9" spans="1:15" x14ac:dyDescent="0.25">
      <c r="A9" s="17">
        <f t="shared" si="0"/>
        <v>8</v>
      </c>
      <c r="B9" s="17"/>
      <c r="C9" s="17" t="str">
        <f t="shared" si="1"/>
        <v>CON</v>
      </c>
      <c r="D9" s="17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 xml:space="preserve">CON  -Pin   </v>
      </c>
      <c r="E9" s="17"/>
      <c r="F9" s="147"/>
      <c r="G9" s="17"/>
      <c r="H9" s="17"/>
      <c r="I9" s="17"/>
      <c r="J9" s="17"/>
      <c r="K9" s="217"/>
      <c r="L9" s="17"/>
      <c r="N9" s="17"/>
      <c r="O9" s="17">
        <f>Connectors_PinHeaders[[#This Row],[Footprint]]</f>
        <v>0</v>
      </c>
    </row>
    <row r="10" spans="1:15" x14ac:dyDescent="0.25">
      <c r="A10" s="17">
        <f t="shared" si="0"/>
        <v>9</v>
      </c>
      <c r="B10" s="17"/>
      <c r="C10" s="17" t="str">
        <f t="shared" si="1"/>
        <v>CON</v>
      </c>
      <c r="D10" s="17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 xml:space="preserve">CON  -Pin   </v>
      </c>
      <c r="E10" s="17"/>
      <c r="F10" s="147"/>
      <c r="G10" s="17"/>
      <c r="H10" s="17"/>
      <c r="I10" s="17"/>
      <c r="J10" s="17"/>
      <c r="K10" s="217"/>
      <c r="L10" s="17"/>
      <c r="N10" s="17"/>
      <c r="O10" s="17">
        <f>Connectors_PinHeaders[[#This Row],[Footprint]]</f>
        <v>0</v>
      </c>
    </row>
    <row r="11" spans="1:15" x14ac:dyDescent="0.25">
      <c r="A11" s="17">
        <f t="shared" si="0"/>
        <v>10</v>
      </c>
      <c r="B11" s="17"/>
      <c r="C11" s="17" t="str">
        <f t="shared" si="1"/>
        <v>CON</v>
      </c>
      <c r="D11" s="17" t="str">
        <f>CONCATENATE(Connectors_PinHeaders[[#This Row],[Category]]," ",Connectors_PinHeaders[[#This Row],[Gender]]," ",Connectors_PinHeaders[[#This Row],[Pin Count]],"-Pin ",Connectors_PinHeaders[[#This Row],[Pitch(mm)]]," ",Connectors_PinHeaders[[#This Row],[Color]]," ",Connectors_PinHeaders[[#This Row],[Rating]])</f>
        <v xml:space="preserve">CON  -Pin   </v>
      </c>
      <c r="E11" s="17"/>
      <c r="F11" s="147"/>
      <c r="G11" s="17"/>
      <c r="H11" s="17"/>
      <c r="I11" s="17"/>
      <c r="J11" s="17"/>
      <c r="K11" s="217"/>
      <c r="L11" s="17"/>
      <c r="N11" s="17"/>
      <c r="O11" s="17">
        <f>Connectors_PinHeaders[[#This Row],[Footprint]]</f>
        <v>0</v>
      </c>
    </row>
  </sheetData>
  <dataValidations count="5">
    <dataValidation type="list" allowBlank="1" showInputMessage="1" showErrorMessage="1" sqref="K2:K11">
      <formula1>Manufacturers_ConnectorsPinHeaders</formula1>
    </dataValidation>
    <dataValidation type="list" allowBlank="1" showInputMessage="1" showErrorMessage="1" sqref="M2:M11">
      <formula1>Process_List</formula1>
    </dataValidation>
    <dataValidation type="list" allowBlank="1" showInputMessage="1" showErrorMessage="1" sqref="L2:L11">
      <formula1>Rating_List</formula1>
    </dataValidation>
    <dataValidation type="list" allowBlank="1" showInputMessage="1" showErrorMessage="1" sqref="N2:N11">
      <formula1>Symbols_ConnectorsPinHeaders</formula1>
    </dataValidation>
    <dataValidation type="list" allowBlank="1" showInputMessage="1" showErrorMessage="1" sqref="I2:I11">
      <formula1>Footprints_ConnectorsPinHeaders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1"/>
  <sheetViews>
    <sheetView zoomScale="85" zoomScaleNormal="85" workbookViewId="0">
      <selection activeCell="G22" sqref="G22"/>
    </sheetView>
  </sheetViews>
  <sheetFormatPr defaultRowHeight="15" x14ac:dyDescent="0.25"/>
  <cols>
    <col min="1" max="1" width="5.140625" bestFit="1" customWidth="1"/>
    <col min="2" max="2" width="11.140625" bestFit="1" customWidth="1"/>
    <col min="3" max="3" width="56.28515625" bestFit="1" customWidth="1"/>
    <col min="4" max="4" width="10" style="173" customWidth="1"/>
    <col min="5" max="5" width="18" style="173" bestFit="1" customWidth="1"/>
    <col min="6" max="6" width="17.5703125" style="173" bestFit="1" customWidth="1"/>
    <col min="7" max="7" width="16.7109375" style="173" bestFit="1" customWidth="1"/>
    <col min="8" max="8" width="14.5703125" style="173" bestFit="1" customWidth="1"/>
    <col min="9" max="9" width="15.5703125" style="173" bestFit="1" customWidth="1"/>
    <col min="10" max="10" width="9.28515625" style="173" bestFit="1" customWidth="1"/>
    <col min="11" max="11" width="10" bestFit="1" customWidth="1"/>
    <col min="12" max="13" width="16.7109375" bestFit="1" customWidth="1"/>
  </cols>
  <sheetData>
    <row r="1" spans="1:13" x14ac:dyDescent="0.25">
      <c r="A1" t="s">
        <v>0</v>
      </c>
      <c r="B1" s="7" t="s">
        <v>7</v>
      </c>
      <c r="C1" t="s">
        <v>8</v>
      </c>
      <c r="D1" s="7" t="s">
        <v>369</v>
      </c>
      <c r="E1" s="7" t="s">
        <v>1450</v>
      </c>
      <c r="F1" s="7" t="s">
        <v>1451</v>
      </c>
      <c r="G1" s="7" t="s">
        <v>18</v>
      </c>
      <c r="H1" s="7" t="s">
        <v>2</v>
      </c>
      <c r="I1" s="7" t="s">
        <v>1</v>
      </c>
      <c r="J1" s="7" t="s">
        <v>6</v>
      </c>
      <c r="K1" s="7" t="s">
        <v>5</v>
      </c>
      <c r="L1" s="7" t="s">
        <v>3</v>
      </c>
      <c r="M1" t="s">
        <v>4</v>
      </c>
    </row>
    <row r="2" spans="1:13" x14ac:dyDescent="0.25">
      <c r="A2" s="174">
        <f t="shared" ref="A2:A11" si="0">ROW()-1</f>
        <v>1</v>
      </c>
      <c r="B2" s="174" t="str">
        <f>"TRM"</f>
        <v>TRM</v>
      </c>
      <c r="C2" s="8" t="str">
        <f>CONCATENATE(Terminals[[#This Row],[Category]]," ",Terminals[[#This Row],[Gender]]," BM:",Terminals[[#This Row],[Base Material]]," PM:",Terminals[[#This Row],[Plating Material]]," ",Terminals[[#This Row],[Rating]])</f>
        <v>TRM Male BM:CuZn PM:Sn AECQ</v>
      </c>
      <c r="D2" s="8" t="s">
        <v>378</v>
      </c>
      <c r="E2" s="174" t="s">
        <v>1452</v>
      </c>
      <c r="F2" s="174" t="s">
        <v>1453</v>
      </c>
      <c r="G2" s="174"/>
      <c r="H2" s="174"/>
      <c r="I2" s="174"/>
      <c r="J2" s="174" t="s">
        <v>11</v>
      </c>
      <c r="K2" s="174" t="s">
        <v>10</v>
      </c>
      <c r="L2" s="174"/>
      <c r="M2" s="174">
        <f>Terminals[[#This Row],[Footprint]]</f>
        <v>0</v>
      </c>
    </row>
    <row r="3" spans="1:13" x14ac:dyDescent="0.25">
      <c r="A3" s="174">
        <f t="shared" si="0"/>
        <v>2</v>
      </c>
      <c r="B3" s="174" t="str">
        <f t="shared" ref="B3:B11" si="1">"TRM"</f>
        <v>TRM</v>
      </c>
      <c r="C3" s="8" t="str">
        <f>CONCATENATE(Terminals[[#This Row],[Category]]," ",Terminals[[#This Row],[Gender]]," BM:",Terminals[[#This Row],[Base Material]]," PM:",Terminals[[#This Row],[Plating Material]]," ",Terminals[[#This Row],[Rating]])</f>
        <v>TRM Male BM:CuZn PM:Sn AECQ</v>
      </c>
      <c r="D3" s="8" t="s">
        <v>378</v>
      </c>
      <c r="E3" s="174" t="s">
        <v>1452</v>
      </c>
      <c r="F3" s="174" t="s">
        <v>1453</v>
      </c>
      <c r="G3" s="174" t="s">
        <v>1706</v>
      </c>
      <c r="H3" s="174" t="s">
        <v>1707</v>
      </c>
      <c r="I3" s="174"/>
      <c r="J3" s="174" t="s">
        <v>11</v>
      </c>
      <c r="K3" s="174" t="s">
        <v>43</v>
      </c>
      <c r="L3" s="174" t="s">
        <v>1706</v>
      </c>
      <c r="M3" s="174" t="str">
        <f>Terminals[[#This Row],[Footprint]]</f>
        <v>FCL_Terminal_1X4</v>
      </c>
    </row>
    <row r="4" spans="1:13" x14ac:dyDescent="0.25">
      <c r="A4" s="174">
        <f t="shared" si="0"/>
        <v>3</v>
      </c>
      <c r="B4" s="174" t="str">
        <f t="shared" si="1"/>
        <v>TRM</v>
      </c>
      <c r="C4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4" s="8"/>
      <c r="E4" s="174"/>
      <c r="F4" s="174"/>
      <c r="G4" s="174"/>
      <c r="H4" s="174"/>
      <c r="I4" s="174"/>
      <c r="J4" s="174"/>
      <c r="K4" s="174"/>
      <c r="L4" s="174"/>
      <c r="M4" s="174">
        <f>Terminals[[#This Row],[Footprint]]</f>
        <v>0</v>
      </c>
    </row>
    <row r="5" spans="1:13" x14ac:dyDescent="0.25">
      <c r="A5" s="174">
        <f t="shared" si="0"/>
        <v>4</v>
      </c>
      <c r="B5" s="174" t="str">
        <f t="shared" si="1"/>
        <v>TRM</v>
      </c>
      <c r="C5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5" s="8"/>
      <c r="E5" s="174"/>
      <c r="F5" s="174"/>
      <c r="G5" s="174"/>
      <c r="H5" s="174"/>
      <c r="I5" s="174"/>
      <c r="J5" s="174"/>
      <c r="K5" s="174"/>
      <c r="L5" s="174"/>
      <c r="M5" s="174">
        <f>Terminals[[#This Row],[Footprint]]</f>
        <v>0</v>
      </c>
    </row>
    <row r="6" spans="1:13" x14ac:dyDescent="0.25">
      <c r="A6" s="174">
        <f t="shared" si="0"/>
        <v>5</v>
      </c>
      <c r="B6" s="174" t="str">
        <f t="shared" si="1"/>
        <v>TRM</v>
      </c>
      <c r="C6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6" s="8"/>
      <c r="E6" s="174"/>
      <c r="F6" s="174"/>
      <c r="G6" s="174"/>
      <c r="H6" s="174"/>
      <c r="I6" s="174"/>
      <c r="J6" s="174"/>
      <c r="K6" s="174"/>
      <c r="L6" s="174"/>
      <c r="M6" s="174">
        <f>Terminals[[#This Row],[Footprint]]</f>
        <v>0</v>
      </c>
    </row>
    <row r="7" spans="1:13" x14ac:dyDescent="0.25">
      <c r="A7" s="174">
        <f t="shared" si="0"/>
        <v>6</v>
      </c>
      <c r="B7" s="174" t="str">
        <f t="shared" si="1"/>
        <v>TRM</v>
      </c>
      <c r="C7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7" s="8"/>
      <c r="E7" s="174"/>
      <c r="F7" s="174"/>
      <c r="G7" s="174"/>
      <c r="H7" s="174"/>
      <c r="I7" s="174"/>
      <c r="J7" s="174"/>
      <c r="K7" s="174"/>
      <c r="L7" s="174"/>
      <c r="M7" s="174">
        <f>Terminals[[#This Row],[Footprint]]</f>
        <v>0</v>
      </c>
    </row>
    <row r="8" spans="1:13" x14ac:dyDescent="0.25">
      <c r="A8" s="174">
        <f t="shared" si="0"/>
        <v>7</v>
      </c>
      <c r="B8" s="174" t="str">
        <f t="shared" si="1"/>
        <v>TRM</v>
      </c>
      <c r="C8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8" s="8"/>
      <c r="E8" s="174"/>
      <c r="F8" s="174"/>
      <c r="G8" s="174"/>
      <c r="H8" s="174"/>
      <c r="I8" s="174"/>
      <c r="J8" s="174"/>
      <c r="K8" s="174"/>
      <c r="L8" s="174"/>
      <c r="M8" s="174">
        <f>Terminals[[#This Row],[Footprint]]</f>
        <v>0</v>
      </c>
    </row>
    <row r="9" spans="1:13" x14ac:dyDescent="0.25">
      <c r="A9" s="174">
        <f t="shared" si="0"/>
        <v>8</v>
      </c>
      <c r="B9" s="174" t="str">
        <f t="shared" si="1"/>
        <v>TRM</v>
      </c>
      <c r="C9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9" s="8"/>
      <c r="E9" s="174"/>
      <c r="F9" s="174"/>
      <c r="G9" s="174"/>
      <c r="H9" s="174"/>
      <c r="I9" s="174"/>
      <c r="J9" s="174"/>
      <c r="K9" s="174"/>
      <c r="L9" s="174"/>
      <c r="M9" s="174">
        <f>Terminals[[#This Row],[Footprint]]</f>
        <v>0</v>
      </c>
    </row>
    <row r="10" spans="1:13" x14ac:dyDescent="0.25">
      <c r="A10" s="174">
        <f t="shared" si="0"/>
        <v>9</v>
      </c>
      <c r="B10" s="174" t="str">
        <f t="shared" si="1"/>
        <v>TRM</v>
      </c>
      <c r="C10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10" s="8"/>
      <c r="E10" s="174"/>
      <c r="F10" s="174"/>
      <c r="G10" s="174"/>
      <c r="H10" s="174"/>
      <c r="I10" s="174"/>
      <c r="J10" s="174"/>
      <c r="K10" s="174"/>
      <c r="L10" s="174"/>
      <c r="M10" s="174">
        <f>Terminals[[#This Row],[Footprint]]</f>
        <v>0</v>
      </c>
    </row>
    <row r="11" spans="1:13" x14ac:dyDescent="0.25">
      <c r="A11" s="174">
        <f t="shared" si="0"/>
        <v>10</v>
      </c>
      <c r="B11" s="174" t="str">
        <f t="shared" si="1"/>
        <v>TRM</v>
      </c>
      <c r="C11" s="8" t="str">
        <f>CONCATENATE(Terminals[[#This Row],[Category]]," ",Terminals[[#This Row],[Gender]]," BM:",Terminals[[#This Row],[Base Material]]," PM:",Terminals[[#This Row],[Plating Material]]," ",Terminals[[#This Row],[Rating]])</f>
        <v xml:space="preserve">TRM  BM: PM: </v>
      </c>
      <c r="D11" s="8"/>
      <c r="E11" s="174"/>
      <c r="F11" s="174"/>
      <c r="G11" s="174"/>
      <c r="H11" s="174"/>
      <c r="I11" s="174"/>
      <c r="J11" s="174"/>
      <c r="K11" s="174"/>
      <c r="L11" s="174"/>
      <c r="M11" s="174">
        <f>Terminals[[#This Row],[Footprint]]</f>
        <v>0</v>
      </c>
    </row>
  </sheetData>
  <dataValidations count="5">
    <dataValidation type="list" allowBlank="1" showInputMessage="1" showErrorMessage="1" sqref="G2:G11">
      <formula1>Footprints_Terminals</formula1>
    </dataValidation>
    <dataValidation type="list" allowBlank="1" showInputMessage="1" showErrorMessage="1" sqref="K2:K11">
      <formula1>Process_List</formula1>
    </dataValidation>
    <dataValidation type="list" allowBlank="1" showInputMessage="1" showErrorMessage="1" sqref="L2:L11">
      <formula1>Symbols_Terminals</formula1>
    </dataValidation>
    <dataValidation type="list" allowBlank="1" showInputMessage="1" showErrorMessage="1" sqref="J2:J11">
      <formula1>Rating_List</formula1>
    </dataValidation>
    <dataValidation type="list" allowBlank="1" showInputMessage="1" showErrorMessage="1" sqref="I2:I11">
      <formula1>Manufacturers_Terminals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1"/>
  <sheetViews>
    <sheetView topLeftCell="B1" zoomScale="85" zoomScaleNormal="85" workbookViewId="0">
      <selection activeCell="F11" sqref="F11"/>
    </sheetView>
  </sheetViews>
  <sheetFormatPr defaultColWidth="9.140625" defaultRowHeight="15" x14ac:dyDescent="0.25"/>
  <cols>
    <col min="1" max="1" width="5.140625" style="173" bestFit="1" customWidth="1"/>
    <col min="2" max="2" width="11.140625" style="173" bestFit="1" customWidth="1"/>
    <col min="3" max="3" width="85.85546875" style="173" bestFit="1" customWidth="1"/>
    <col min="4" max="4" width="18" style="173" bestFit="1" customWidth="1"/>
    <col min="5" max="5" width="17.85546875" style="173" bestFit="1" customWidth="1"/>
    <col min="6" max="7" width="18.28515625" style="173" bestFit="1" customWidth="1"/>
    <col min="8" max="8" width="12.85546875" style="173" bestFit="1" customWidth="1"/>
    <col min="9" max="9" width="13.28515625" style="173" bestFit="1" customWidth="1"/>
    <col min="10" max="10" width="23.7109375" style="173" bestFit="1" customWidth="1"/>
    <col min="11" max="11" width="10" style="173" bestFit="1" customWidth="1"/>
    <col min="12" max="13" width="23.7109375" style="173" bestFit="1" customWidth="1"/>
    <col min="14" max="16384" width="9.140625" style="173"/>
  </cols>
  <sheetData>
    <row r="1" spans="1:13" x14ac:dyDescent="0.25">
      <c r="A1" s="173" t="s">
        <v>0</v>
      </c>
      <c r="B1" s="7" t="s">
        <v>7</v>
      </c>
      <c r="C1" s="173" t="s">
        <v>8</v>
      </c>
      <c r="D1" s="7" t="s">
        <v>1591</v>
      </c>
      <c r="E1" s="7" t="s">
        <v>1592</v>
      </c>
      <c r="F1" s="7" t="s">
        <v>1593</v>
      </c>
      <c r="G1" s="7" t="s">
        <v>1594</v>
      </c>
      <c r="H1" s="7" t="s">
        <v>1601</v>
      </c>
      <c r="I1" s="7" t="s">
        <v>1600</v>
      </c>
      <c r="J1" s="7" t="s">
        <v>18</v>
      </c>
      <c r="K1" s="7" t="s">
        <v>5</v>
      </c>
      <c r="L1" s="7" t="s">
        <v>3</v>
      </c>
      <c r="M1" s="173" t="s">
        <v>4</v>
      </c>
    </row>
    <row r="2" spans="1:13" x14ac:dyDescent="0.25">
      <c r="A2" s="174">
        <f t="shared" ref="A2:A11" si="0">ROW()-1</f>
        <v>1</v>
      </c>
      <c r="B2" s="174" t="str">
        <f t="shared" ref="B2:B11" si="1">"PAD"</f>
        <v>PAD</v>
      </c>
      <c r="C2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>PAD Size:(1.5x4mm,Rectangular) Hole:(1.2x1.2mm,Rectangular) THT</v>
      </c>
      <c r="D2" s="20" t="s">
        <v>1597</v>
      </c>
      <c r="E2" s="48" t="s">
        <v>1598</v>
      </c>
      <c r="F2" s="48" t="s">
        <v>1599</v>
      </c>
      <c r="G2" s="48" t="s">
        <v>1599</v>
      </c>
      <c r="H2" s="48" t="s">
        <v>1595</v>
      </c>
      <c r="I2" s="48" t="s">
        <v>1595</v>
      </c>
      <c r="J2" s="48"/>
      <c r="K2" s="48" t="s">
        <v>43</v>
      </c>
      <c r="L2" s="48"/>
      <c r="M2" s="48">
        <f>Terminals81[[#This Row],[Footprint]]</f>
        <v>0</v>
      </c>
    </row>
    <row r="3" spans="1:13" x14ac:dyDescent="0.25">
      <c r="A3" s="174">
        <f t="shared" si="0"/>
        <v>2</v>
      </c>
      <c r="B3" s="174" t="str">
        <f t="shared" si="1"/>
        <v>PAD</v>
      </c>
      <c r="C3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>PAD Size:(1.5x5mm,Rectangular) SMD</v>
      </c>
      <c r="D3" s="48" t="s">
        <v>1597</v>
      </c>
      <c r="E3" s="48" t="s">
        <v>1709</v>
      </c>
      <c r="F3" s="20" t="s">
        <v>1418</v>
      </c>
      <c r="G3" s="20" t="s">
        <v>1418</v>
      </c>
      <c r="H3" s="48" t="s">
        <v>1595</v>
      </c>
      <c r="I3" s="20" t="s">
        <v>1418</v>
      </c>
      <c r="J3" s="48" t="s">
        <v>1708</v>
      </c>
      <c r="K3" s="48" t="s">
        <v>10</v>
      </c>
      <c r="L3" s="48" t="s">
        <v>1708</v>
      </c>
      <c r="M3" s="48" t="str">
        <f>Terminals81[[#This Row],[Footprint]]</f>
        <v>FCL_Cable_Pad_1X4</v>
      </c>
    </row>
    <row r="4" spans="1:13" x14ac:dyDescent="0.25">
      <c r="A4" s="174">
        <f t="shared" si="0"/>
        <v>3</v>
      </c>
      <c r="B4" s="174" t="str">
        <f t="shared" si="1"/>
        <v>PAD</v>
      </c>
      <c r="C4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4" s="48"/>
      <c r="E4" s="48"/>
      <c r="F4" s="20"/>
      <c r="G4" s="20"/>
      <c r="H4" s="48"/>
      <c r="I4" s="20"/>
      <c r="J4" s="48"/>
      <c r="K4" s="48"/>
      <c r="L4" s="48"/>
      <c r="M4" s="48">
        <f>Terminals81[[#This Row],[Footprint]]</f>
        <v>0</v>
      </c>
    </row>
    <row r="5" spans="1:13" x14ac:dyDescent="0.25">
      <c r="A5" s="174">
        <f t="shared" si="0"/>
        <v>4</v>
      </c>
      <c r="B5" s="174" t="str">
        <f t="shared" si="1"/>
        <v>PAD</v>
      </c>
      <c r="C5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5" s="48"/>
      <c r="E5" s="48"/>
      <c r="F5" s="48"/>
      <c r="G5" s="48"/>
      <c r="H5" s="48"/>
      <c r="I5" s="48"/>
      <c r="J5" s="48"/>
      <c r="K5" s="48"/>
      <c r="L5" s="48"/>
      <c r="M5" s="48">
        <f>Terminals81[[#This Row],[Footprint]]</f>
        <v>0</v>
      </c>
    </row>
    <row r="6" spans="1:13" x14ac:dyDescent="0.25">
      <c r="A6" s="174">
        <f t="shared" si="0"/>
        <v>5</v>
      </c>
      <c r="B6" s="174" t="str">
        <f t="shared" si="1"/>
        <v>PAD</v>
      </c>
      <c r="C6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6" s="48"/>
      <c r="E6" s="48"/>
      <c r="F6" s="48"/>
      <c r="G6" s="48"/>
      <c r="H6" s="48"/>
      <c r="I6" s="48"/>
      <c r="J6" s="48"/>
      <c r="K6" s="48"/>
      <c r="L6" s="48"/>
      <c r="M6" s="48">
        <f>Terminals81[[#This Row],[Footprint]]</f>
        <v>0</v>
      </c>
    </row>
    <row r="7" spans="1:13" x14ac:dyDescent="0.25">
      <c r="A7" s="174">
        <f t="shared" si="0"/>
        <v>6</v>
      </c>
      <c r="B7" s="174" t="str">
        <f t="shared" si="1"/>
        <v>PAD</v>
      </c>
      <c r="C7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7" s="48"/>
      <c r="E7" s="48"/>
      <c r="F7" s="48"/>
      <c r="G7" s="48"/>
      <c r="H7" s="48"/>
      <c r="I7" s="48"/>
      <c r="J7" s="48"/>
      <c r="K7" s="48"/>
      <c r="L7" s="48"/>
      <c r="M7" s="48">
        <f>Terminals81[[#This Row],[Footprint]]</f>
        <v>0</v>
      </c>
    </row>
    <row r="8" spans="1:13" x14ac:dyDescent="0.25">
      <c r="A8" s="174">
        <f t="shared" si="0"/>
        <v>7</v>
      </c>
      <c r="B8" s="174" t="str">
        <f t="shared" si="1"/>
        <v>PAD</v>
      </c>
      <c r="C8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8" s="48"/>
      <c r="E8" s="48"/>
      <c r="F8" s="48"/>
      <c r="G8" s="48"/>
      <c r="H8" s="48"/>
      <c r="I8" s="48"/>
      <c r="J8" s="48"/>
      <c r="K8" s="48"/>
      <c r="L8" s="48"/>
      <c r="M8" s="48">
        <f>Terminals81[[#This Row],[Footprint]]</f>
        <v>0</v>
      </c>
    </row>
    <row r="9" spans="1:13" x14ac:dyDescent="0.25">
      <c r="A9" s="174">
        <f t="shared" si="0"/>
        <v>8</v>
      </c>
      <c r="B9" s="174" t="str">
        <f t="shared" si="1"/>
        <v>PAD</v>
      </c>
      <c r="C9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9" s="48"/>
      <c r="E9" s="48"/>
      <c r="F9" s="48"/>
      <c r="G9" s="48"/>
      <c r="H9" s="48"/>
      <c r="I9" s="48"/>
      <c r="J9" s="48"/>
      <c r="K9" s="48"/>
      <c r="L9" s="48"/>
      <c r="M9" s="48">
        <f>Terminals81[[#This Row],[Footprint]]</f>
        <v>0</v>
      </c>
    </row>
    <row r="10" spans="1:13" x14ac:dyDescent="0.25">
      <c r="A10" s="174">
        <f t="shared" si="0"/>
        <v>9</v>
      </c>
      <c r="B10" s="174" t="str">
        <f t="shared" si="1"/>
        <v>PAD</v>
      </c>
      <c r="C10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10" s="48"/>
      <c r="E10" s="48"/>
      <c r="F10" s="48"/>
      <c r="G10" s="48"/>
      <c r="H10" s="48"/>
      <c r="I10" s="48"/>
      <c r="J10" s="48"/>
      <c r="K10" s="48"/>
      <c r="L10" s="48"/>
      <c r="M10" s="48">
        <f>Terminals81[[#This Row],[Footprint]]</f>
        <v>0</v>
      </c>
    </row>
    <row r="11" spans="1:13" x14ac:dyDescent="0.25">
      <c r="A11" s="174">
        <f t="shared" si="0"/>
        <v>10</v>
      </c>
      <c r="B11" s="174" t="str">
        <f t="shared" si="1"/>
        <v>PAD</v>
      </c>
      <c r="C11" s="8" t="str">
        <f>CONCATENATE(Terminals81[[#This Row],[Category]]," ","Size:(",SUBSTITUTE(Terminals81[[#This Row],[PAD X-Size(mm)]], "mm", ""),"x",Terminals81[[#This Row],[PAD Y-Size(mm)]],",",Terminals81[[#This Row],[PAD Shape]],")",IF(Terminals81[[#This Row],[Process]]="THT",CONCATENATE(" Hole:(",SUBSTITUTE(Terminals81[[#This Row],[Hole X-Size(mm)]], "mm", ""),"x",Terminals81[[#This Row],[Hole Y-Size(mm)]],",",Terminals81[[#This Row],[Hole Shape]],")"),)," ",Terminals81[[#This Row],[Process]])</f>
        <v xml:space="preserve">PAD Size:(x,) </v>
      </c>
      <c r="D11" s="48"/>
      <c r="E11" s="48"/>
      <c r="F11" s="48"/>
      <c r="G11" s="48"/>
      <c r="H11" s="48"/>
      <c r="I11" s="48"/>
      <c r="J11" s="48"/>
      <c r="K11" s="48"/>
      <c r="L11" s="48"/>
      <c r="M11" s="48">
        <f>Terminals81[[#This Row],[Footprint]]</f>
        <v>0</v>
      </c>
    </row>
  </sheetData>
  <dataValidations count="3">
    <dataValidation type="list" allowBlank="1" showInputMessage="1" showErrorMessage="1" sqref="L2:L11">
      <formula1>Symbols_PADs</formula1>
    </dataValidation>
    <dataValidation type="list" allowBlank="1" showInputMessage="1" showErrorMessage="1" sqref="K2:K11">
      <formula1>Process_List</formula1>
    </dataValidation>
    <dataValidation type="list" allowBlank="1" showInputMessage="1" showErrorMessage="1" sqref="J2:J11">
      <formula1>Footprints_PADs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28</vt:i4>
      </vt:variant>
      <vt:variant>
        <vt:lpstr>Adlandırılmış Aralıklar</vt:lpstr>
      </vt:variant>
      <vt:variant>
        <vt:i4>58</vt:i4>
      </vt:variant>
    </vt:vector>
  </HeadingPairs>
  <TitlesOfParts>
    <vt:vector size="86" baseType="lpstr">
      <vt:lpstr>Rev.History</vt:lpstr>
      <vt:lpstr>Rating&amp;Process List</vt:lpstr>
      <vt:lpstr>Symbol Lists</vt:lpstr>
      <vt:lpstr>Footprint Lists</vt:lpstr>
      <vt:lpstr>Manufacturer Lists</vt:lpstr>
      <vt:lpstr>RESISTOR</vt:lpstr>
      <vt:lpstr>CAPACITOR</vt:lpstr>
      <vt:lpstr>INDUCTOR</vt:lpstr>
      <vt:lpstr>FERRITE BEAD</vt:lpstr>
      <vt:lpstr>CMC</vt:lpstr>
      <vt:lpstr>DIODE RECTIFIER</vt:lpstr>
      <vt:lpstr>DIODE SWITCHING</vt:lpstr>
      <vt:lpstr>DIODE ZENER</vt:lpstr>
      <vt:lpstr>DIODE SCHOTTKY</vt:lpstr>
      <vt:lpstr>DIODE TVS</vt:lpstr>
      <vt:lpstr>NTC</vt:lpstr>
      <vt:lpstr>PTC</vt:lpstr>
      <vt:lpstr>LED</vt:lpstr>
      <vt:lpstr>TRANSISTOR</vt:lpstr>
      <vt:lpstr>MOSFET</vt:lpstr>
      <vt:lpstr>DC-DC CONVERTER</vt:lpstr>
      <vt:lpstr>LINEAR VOLTAGE REGULATOR</vt:lpstr>
      <vt:lpstr>LED DRIVER</vt:lpstr>
      <vt:lpstr>MICROCONTROLLER</vt:lpstr>
      <vt:lpstr>OTHER IC</vt:lpstr>
      <vt:lpstr>CONNECTOR</vt:lpstr>
      <vt:lpstr>TERMINAL</vt:lpstr>
      <vt:lpstr>PAD</vt:lpstr>
      <vt:lpstr>Footprints_Capacitors</vt:lpstr>
      <vt:lpstr>Footprints_CMCs</vt:lpstr>
      <vt:lpstr>Footprints_ConnectorsPinHeaders</vt:lpstr>
      <vt:lpstr>Footprints_DCDCConverters</vt:lpstr>
      <vt:lpstr>Footprints_Diodes</vt:lpstr>
      <vt:lpstr>Footprints_FerriteBeads</vt:lpstr>
      <vt:lpstr>Footprints_Inductors</vt:lpstr>
      <vt:lpstr>Footprints_LEDDrivers</vt:lpstr>
      <vt:lpstr>Footprints_LEDs</vt:lpstr>
      <vt:lpstr>Footprints_LVRs</vt:lpstr>
      <vt:lpstr>Footprints_MCUs</vt:lpstr>
      <vt:lpstr>Footprints_Mosfets</vt:lpstr>
      <vt:lpstr>Footprints_NTCs</vt:lpstr>
      <vt:lpstr>Footprints_OtherICs</vt:lpstr>
      <vt:lpstr>Footprints_PADs</vt:lpstr>
      <vt:lpstr>Footprints_PTCs</vt:lpstr>
      <vt:lpstr>Footprints_Resistors</vt:lpstr>
      <vt:lpstr>Footprints_Terminals</vt:lpstr>
      <vt:lpstr>Footprints_Transistors</vt:lpstr>
      <vt:lpstr>Manufacturers_Capacitors</vt:lpstr>
      <vt:lpstr>Manufacturers_CMCs</vt:lpstr>
      <vt:lpstr>Manufacturers_ConnectorsPinHeaders</vt:lpstr>
      <vt:lpstr>Manufacturers_DCDCConverters</vt:lpstr>
      <vt:lpstr>Manufacturers_Diodes</vt:lpstr>
      <vt:lpstr>Manufacturers_FerriteBeads</vt:lpstr>
      <vt:lpstr>Manufacturers_Inductors</vt:lpstr>
      <vt:lpstr>Manufacturers_LEDDrivers</vt:lpstr>
      <vt:lpstr>Manufacturers_LEDs</vt:lpstr>
      <vt:lpstr>Manufacturers_LVRs</vt:lpstr>
      <vt:lpstr>Manufacturers_MCUs</vt:lpstr>
      <vt:lpstr>Manufacturers_Mosfets</vt:lpstr>
      <vt:lpstr>Manufacturers_NTCs</vt:lpstr>
      <vt:lpstr>Manufacturers_OtherICs</vt:lpstr>
      <vt:lpstr>Manufacturers_PTCs</vt:lpstr>
      <vt:lpstr>Manufacturers_Resistors</vt:lpstr>
      <vt:lpstr>Manufacturers_Terminals</vt:lpstr>
      <vt:lpstr>Manufacturers_Transistors</vt:lpstr>
      <vt:lpstr>Process_List</vt:lpstr>
      <vt:lpstr>Rating_List</vt:lpstr>
      <vt:lpstr>Symbols_Capacitors</vt:lpstr>
      <vt:lpstr>Symbols_CMCs</vt:lpstr>
      <vt:lpstr>Symbols_ConnectorsPinHeaders</vt:lpstr>
      <vt:lpstr>Symbols_DCDCConverters</vt:lpstr>
      <vt:lpstr>Symbols_Diodes</vt:lpstr>
      <vt:lpstr>Symbols_FerriteBeads</vt:lpstr>
      <vt:lpstr>Symbols_Inductors</vt:lpstr>
      <vt:lpstr>Symbols_LEDDrivers</vt:lpstr>
      <vt:lpstr>Symbols_LEDs</vt:lpstr>
      <vt:lpstr>Symbols_LVRs</vt:lpstr>
      <vt:lpstr>Symbols_MCUs</vt:lpstr>
      <vt:lpstr>Symbols_Mosfets</vt:lpstr>
      <vt:lpstr>Symbols_NTCs</vt:lpstr>
      <vt:lpstr>Symbols_OtherICs</vt:lpstr>
      <vt:lpstr>Symbols_PADs</vt:lpstr>
      <vt:lpstr>Symbols_PTCs</vt:lpstr>
      <vt:lpstr>Symbols_Resistors</vt:lpstr>
      <vt:lpstr>Symbols_Terminals</vt:lpstr>
      <vt:lpstr>Symbols_Transistors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BERİŞ</dc:creator>
  <cp:lastModifiedBy>Selim BERİŞ</cp:lastModifiedBy>
  <dcterms:created xsi:type="dcterms:W3CDTF">2025-03-26T06:54:07Z</dcterms:created>
  <dcterms:modified xsi:type="dcterms:W3CDTF">2026-03-04T08:21:15Z</dcterms:modified>
</cp:coreProperties>
</file>